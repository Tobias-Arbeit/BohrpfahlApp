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llercloudeur-my.sharepoint.com/personal/uli_wohlfarter_keller_com/Documents/_Privat/Programm Bohrpfahl-Verwaltung/"/>
    </mc:Choice>
  </mc:AlternateContent>
  <xr:revisionPtr revIDLastSave="41" documentId="13_ncr:1_{4BE39AEB-F249-44E2-8311-13C9210DDE58}" xr6:coauthVersionLast="47" xr6:coauthVersionMax="47" xr10:uidLastSave="{F82E95A6-1D9C-4C6E-A1DF-FC04035A2550}"/>
  <bookViews>
    <workbookView xWindow="-108" yWindow="-108" windowWidth="23256" windowHeight="12456" xr2:uid="{00000000-000D-0000-FFFF-FFFF00000000}"/>
  </bookViews>
  <sheets>
    <sheet name="Pfahlausteilung" sheetId="1" r:id="rId1"/>
  </sheets>
  <definedNames>
    <definedName name="_xlnm.Print_Area" localSheetId="0">Pfahlausteilung!$A$1:$I$296</definedName>
    <definedName name="_xlnm.Print_Titles" localSheetId="0">Pfahlausteilung!$1:$2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4" i="1" l="1"/>
  <c r="I295" i="1"/>
  <c r="I296" i="1"/>
  <c r="I293" i="1"/>
  <c r="G294" i="1"/>
  <c r="G295" i="1"/>
  <c r="G296" i="1"/>
  <c r="G293" i="1"/>
  <c r="G279" i="1" l="1"/>
  <c r="G280" i="1"/>
  <c r="G260" i="1"/>
  <c r="I4" i="1" l="1"/>
  <c r="I5" i="1"/>
  <c r="I6" i="1"/>
  <c r="I7" i="1"/>
  <c r="I8" i="1"/>
  <c r="I9" i="1"/>
  <c r="I10" i="1"/>
  <c r="I3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1" i="1"/>
  <c r="I196" i="1"/>
  <c r="I197" i="1"/>
  <c r="I198" i="1"/>
  <c r="I199" i="1"/>
  <c r="I200" i="1"/>
  <c r="I201" i="1"/>
  <c r="I202" i="1"/>
  <c r="I195" i="1"/>
  <c r="I204" i="1"/>
  <c r="I205" i="1"/>
  <c r="I206" i="1"/>
  <c r="I207" i="1"/>
  <c r="I208" i="1"/>
  <c r="I209" i="1"/>
  <c r="I210" i="1"/>
  <c r="I203" i="1"/>
</calcChain>
</file>

<file path=xl/sharedStrings.xml><?xml version="1.0" encoding="utf-8"?>
<sst xmlns="http://schemas.openxmlformats.org/spreadsheetml/2006/main" count="2086" uniqueCount="617">
  <si>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</si>
  <si>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</si>
  <si>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</si>
  <si>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</si>
  <si>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</si>
  <si>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</si>
  <si>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</si>
  <si>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</si>
  <si>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</si>
  <si>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</si>
  <si>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</si>
  <si>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</si>
  <si>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</si>
  <si>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</si>
  <si>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</si>
  <si>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</si>
  <si>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</si>
  <si>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</si>
  <si>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</si>
  <si>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</si>
  <si>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</si>
  <si>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</si>
  <si>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</si>
  <si>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</si>
  <si>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</si>
  <si>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</si>
  <si>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</si>
  <si>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</si>
  <si>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</si>
  <si>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</si>
  <si>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</si>
  <si>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</si>
  <si>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</si>
  <si>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</si>
  <si>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</si>
  <si>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</si>
  <si>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</si>
  <si>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</si>
  <si>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</si>
  <si>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</si>
  <si>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</si>
  <si>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</si>
  <si>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</si>
  <si>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</si>
  <si>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</si>
  <si>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</si>
  <si>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</si>
  <si>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</si>
  <si>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P13-01</t>
  </si>
  <si>
    <t>P13-02</t>
  </si>
  <si>
    <t>P13-03</t>
  </si>
  <si>
    <t>P13-04</t>
  </si>
  <si>
    <t>P13-05</t>
  </si>
  <si>
    <t>P13-06</t>
  </si>
  <si>
    <t>P13-07</t>
  </si>
  <si>
    <t>P13-08</t>
  </si>
  <si>
    <t>P14-01</t>
  </si>
  <si>
    <t>P14-02</t>
  </si>
  <si>
    <t>P14-03</t>
  </si>
  <si>
    <t>P14-04</t>
  </si>
  <si>
    <t>P14-05</t>
  </si>
  <si>
    <t>P14-06</t>
  </si>
  <si>
    <t>P14-07</t>
  </si>
  <si>
    <t>P14-08</t>
  </si>
  <si>
    <t>P15-01</t>
  </si>
  <si>
    <t>P15-02</t>
  </si>
  <si>
    <t>P15-03</t>
  </si>
  <si>
    <t>P15-04</t>
  </si>
  <si>
    <t>P15-05</t>
  </si>
  <si>
    <t>P15-06</t>
  </si>
  <si>
    <t>P15-07</t>
  </si>
  <si>
    <t>P15-08</t>
  </si>
  <si>
    <t>P16-01</t>
  </si>
  <si>
    <t>P16-02</t>
  </si>
  <si>
    <t>P16-03</t>
  </si>
  <si>
    <t>P16-04</t>
  </si>
  <si>
    <t>P16-05</t>
  </si>
  <si>
    <t>P16-06</t>
  </si>
  <si>
    <t>P16-07</t>
  </si>
  <si>
    <t>P16-08</t>
  </si>
  <si>
    <t>P17-01</t>
  </si>
  <si>
    <t>P17-02</t>
  </si>
  <si>
    <t>P17-03</t>
  </si>
  <si>
    <t>P17-04</t>
  </si>
  <si>
    <t>P17-05</t>
  </si>
  <si>
    <t>P17-06</t>
  </si>
  <si>
    <t>P17-07</t>
  </si>
  <si>
    <t>P17-08</t>
  </si>
  <si>
    <t>P18-01</t>
  </si>
  <si>
    <t>P18-02</t>
  </si>
  <si>
    <t>P18-03</t>
  </si>
  <si>
    <t>P18-04</t>
  </si>
  <si>
    <t>P18-05</t>
  </si>
  <si>
    <t>P18-06</t>
  </si>
  <si>
    <t>P18-07</t>
  </si>
  <si>
    <t>P18-08</t>
  </si>
  <si>
    <t>P19-01</t>
  </si>
  <si>
    <t>P19-02</t>
  </si>
  <si>
    <t>P19-03</t>
  </si>
  <si>
    <t>P19-04</t>
  </si>
  <si>
    <t>P19-05</t>
  </si>
  <si>
    <t>P19-06</t>
  </si>
  <si>
    <t>P19-07</t>
  </si>
  <si>
    <t>P19-08</t>
  </si>
  <si>
    <t>P20-01</t>
  </si>
  <si>
    <t>P20-02</t>
  </si>
  <si>
    <t>P20-03</t>
  </si>
  <si>
    <t>P20-04</t>
  </si>
  <si>
    <t>P20-05</t>
  </si>
  <si>
    <t>P20-06</t>
  </si>
  <si>
    <t>P20-07</t>
  </si>
  <si>
    <t>P20-08</t>
  </si>
  <si>
    <t>P21-01</t>
  </si>
  <si>
    <t>P21-02</t>
  </si>
  <si>
    <t>P21-03</t>
  </si>
  <si>
    <t>P21-04</t>
  </si>
  <si>
    <t>P21-05</t>
  </si>
  <si>
    <t>P21-06</t>
  </si>
  <si>
    <t>P21-07</t>
  </si>
  <si>
    <t>P21-08</t>
  </si>
  <si>
    <t>P22-01</t>
  </si>
  <si>
    <t>P22-02</t>
  </si>
  <si>
    <t>P22-03</t>
  </si>
  <si>
    <t>P22-04</t>
  </si>
  <si>
    <t>P22-05</t>
  </si>
  <si>
    <t>P22-06</t>
  </si>
  <si>
    <t>P22-07</t>
  </si>
  <si>
    <t>P22-08</t>
  </si>
  <si>
    <t>P23-01</t>
  </si>
  <si>
    <t>P23-02</t>
  </si>
  <si>
    <t>P23-03</t>
  </si>
  <si>
    <t>P23-04</t>
  </si>
  <si>
    <t>P23-05</t>
  </si>
  <si>
    <t>P23-06</t>
  </si>
  <si>
    <t>P23-07</t>
  </si>
  <si>
    <t>P23-08</t>
  </si>
  <si>
    <t>P24-01</t>
  </si>
  <si>
    <t>P24-02</t>
  </si>
  <si>
    <t>P24-03</t>
  </si>
  <si>
    <t>P24-04</t>
  </si>
  <si>
    <t>P24-05</t>
  </si>
  <si>
    <t>P24-06</t>
  </si>
  <si>
    <t>P24-07</t>
  </si>
  <si>
    <t>P24-08</t>
  </si>
  <si>
    <t>P25-01</t>
  </si>
  <si>
    <t>P25-02</t>
  </si>
  <si>
    <t>P25-03</t>
  </si>
  <si>
    <t>P25-04</t>
  </si>
  <si>
    <t>P25-05</t>
  </si>
  <si>
    <t>P25-06</t>
  </si>
  <si>
    <t>P25-07</t>
  </si>
  <si>
    <t>P25-08</t>
  </si>
  <si>
    <t>P26-01</t>
  </si>
  <si>
    <t>P26-02</t>
  </si>
  <si>
    <t>P26-03</t>
  </si>
  <si>
    <t>P26-04</t>
  </si>
  <si>
    <t>P26-05</t>
  </si>
  <si>
    <t>P26-06</t>
  </si>
  <si>
    <t>P26-07</t>
  </si>
  <si>
    <t>P26-08</t>
  </si>
  <si>
    <t>P27-01</t>
  </si>
  <si>
    <t>P27-02</t>
  </si>
  <si>
    <t>P27-03</t>
  </si>
  <si>
    <t>P27-04</t>
  </si>
  <si>
    <t>P27-05</t>
  </si>
  <si>
    <t>P27-06</t>
  </si>
  <si>
    <t>P27-07</t>
  </si>
  <si>
    <t>P27-08</t>
  </si>
  <si>
    <t>P28-01</t>
  </si>
  <si>
    <t>P28-02</t>
  </si>
  <si>
    <t>P28-03</t>
  </si>
  <si>
    <t>P28-04</t>
  </si>
  <si>
    <t>P28-05</t>
  </si>
  <si>
    <t>P28-06</t>
  </si>
  <si>
    <t>P28-07</t>
  </si>
  <si>
    <t>P28-08</t>
  </si>
  <si>
    <t>P29-01</t>
  </si>
  <si>
    <t>P29-02</t>
  </si>
  <si>
    <t>P29-03</t>
  </si>
  <si>
    <t>P29-04</t>
  </si>
  <si>
    <t>P29-05</t>
  </si>
  <si>
    <t>P29-06</t>
  </si>
  <si>
    <t>P29-07</t>
  </si>
  <si>
    <t>P29-08</t>
  </si>
  <si>
    <t>P30-01</t>
  </si>
  <si>
    <t>P30-02</t>
  </si>
  <si>
    <t>P30-03</t>
  </si>
  <si>
    <t>P30-04</t>
  </si>
  <si>
    <t>P30-05</t>
  </si>
  <si>
    <t>P30-06</t>
  </si>
  <si>
    <t>P30-07</t>
  </si>
  <si>
    <t>P30-08</t>
  </si>
  <si>
    <t>P31-01</t>
  </si>
  <si>
    <t>P31-02</t>
  </si>
  <si>
    <t>P31-03</t>
  </si>
  <si>
    <t>P31-04</t>
  </si>
  <si>
    <t>P31-05</t>
  </si>
  <si>
    <t>P31-06</t>
  </si>
  <si>
    <t>P31-07</t>
  </si>
  <si>
    <t>P31-08</t>
  </si>
  <si>
    <t>P32-01</t>
  </si>
  <si>
    <t>P32-02</t>
  </si>
  <si>
    <t>P32-03</t>
  </si>
  <si>
    <t>P32-04</t>
  </si>
  <si>
    <t>P32-05</t>
  </si>
  <si>
    <t>P32-06</t>
  </si>
  <si>
    <t>P32-07</t>
  </si>
  <si>
    <t>P32-08</t>
  </si>
  <si>
    <t>P33-01</t>
  </si>
  <si>
    <t>P33-02</t>
  </si>
  <si>
    <t>P33-03</t>
  </si>
  <si>
    <t>P33-04</t>
  </si>
  <si>
    <t>P33-05</t>
  </si>
  <si>
    <t>P33-06</t>
  </si>
  <si>
    <t>P33-07</t>
  </si>
  <si>
    <t>P33-08</t>
  </si>
  <si>
    <t>P34-01</t>
  </si>
  <si>
    <t>P34-02</t>
  </si>
  <si>
    <t>P34-03</t>
  </si>
  <si>
    <t>P34-04</t>
  </si>
  <si>
    <t>P34-05</t>
  </si>
  <si>
    <t>P35-01</t>
  </si>
  <si>
    <t>P35-02</t>
  </si>
  <si>
    <t>P35-03</t>
  </si>
  <si>
    <t>P35-04</t>
  </si>
  <si>
    <t>P35-05</t>
  </si>
  <si>
    <t>P35-06</t>
  </si>
  <si>
    <t>P35-07</t>
  </si>
  <si>
    <t>P35-08</t>
  </si>
  <si>
    <t>P36-01</t>
  </si>
  <si>
    <t>P36-02</t>
  </si>
  <si>
    <t>P36-03</t>
  </si>
  <si>
    <t>P36-04</t>
  </si>
  <si>
    <t>P36-05</t>
  </si>
  <si>
    <t>P36-06</t>
  </si>
  <si>
    <t>P36-07</t>
  </si>
  <si>
    <t>P36-08</t>
  </si>
  <si>
    <t>P37-01</t>
  </si>
  <si>
    <t>P37-02</t>
  </si>
  <si>
    <t>P37-03</t>
  </si>
  <si>
    <t>P37-04</t>
  </si>
  <si>
    <t>P37-05</t>
  </si>
  <si>
    <t>P37-06</t>
  </si>
  <si>
    <t>P37-07</t>
  </si>
  <si>
    <t>P37-08</t>
  </si>
  <si>
    <t>P38-01</t>
  </si>
  <si>
    <t>P38-02</t>
  </si>
  <si>
    <t>P38-03</t>
  </si>
  <si>
    <t>P38-04</t>
  </si>
  <si>
    <t>P38-05</t>
  </si>
  <si>
    <t>P38-06</t>
  </si>
  <si>
    <t>P38-07</t>
  </si>
  <si>
    <t>P38-08</t>
  </si>
  <si>
    <t>P39-01</t>
  </si>
  <si>
    <t>P39-02</t>
  </si>
  <si>
    <t>P39-03</t>
  </si>
  <si>
    <t>P39-04</t>
  </si>
  <si>
    <t>P39-05</t>
  </si>
  <si>
    <t>P39-06</t>
  </si>
  <si>
    <t>P39-07</t>
  </si>
  <si>
    <t>P40-01</t>
  </si>
  <si>
    <t>P40-02</t>
  </si>
  <si>
    <t>P40-03</t>
  </si>
  <si>
    <t>P40-04</t>
  </si>
  <si>
    <t>P40-05</t>
  </si>
  <si>
    <t>P40-06</t>
  </si>
  <si>
    <t>P40-07</t>
  </si>
  <si>
    <t>P40-08</t>
  </si>
  <si>
    <t>P41-01</t>
  </si>
  <si>
    <t>P41-02</t>
  </si>
  <si>
    <t>P41-03</t>
  </si>
  <si>
    <t>P41-04</t>
  </si>
  <si>
    <t>P41-05</t>
  </si>
  <si>
    <t>P41-06</t>
  </si>
  <si>
    <t>P41-07</t>
  </si>
  <si>
    <t>P41-08</t>
  </si>
  <si>
    <t>P42-01</t>
  </si>
  <si>
    <t>P42-02</t>
  </si>
  <si>
    <t>P42-03</t>
  </si>
  <si>
    <t>P42-04</t>
  </si>
  <si>
    <t>P42-05</t>
  </si>
  <si>
    <t>P42-06</t>
  </si>
  <si>
    <t>P43-01</t>
  </si>
  <si>
    <t>P43-02</t>
  </si>
  <si>
    <t>P43-03</t>
  </si>
  <si>
    <t>P43-04</t>
  </si>
  <si>
    <t>P43-05</t>
  </si>
  <si>
    <t>P43-06</t>
  </si>
  <si>
    <t>P43-07</t>
  </si>
  <si>
    <t>P43-08</t>
  </si>
  <si>
    <t>P44-01</t>
  </si>
  <si>
    <t>P44-02</t>
  </si>
  <si>
    <t>P44-03</t>
  </si>
  <si>
    <t>Pfahl-Nr.</t>
  </si>
  <si>
    <t>X-Koordinate</t>
  </si>
  <si>
    <t>Y-Koordinate</t>
  </si>
  <si>
    <t>Pfahllänge</t>
  </si>
  <si>
    <t>[m]</t>
  </si>
  <si>
    <t>[-]</t>
  </si>
  <si>
    <t>[müA]</t>
  </si>
  <si>
    <r>
      <t xml:space="preserve">Pfahl </t>
    </r>
    <r>
      <rPr>
        <sz val="11"/>
        <color theme="1"/>
        <rFont val="Calibri"/>
        <family val="2"/>
      </rPr>
      <t>Ø</t>
    </r>
  </si>
  <si>
    <t>[cm]</t>
  </si>
  <si>
    <t>Neigungung</t>
  </si>
  <si>
    <t>-</t>
  </si>
  <si>
    <t>Pfahl UK</t>
  </si>
  <si>
    <t>Pfahl OK</t>
  </si>
  <si>
    <t>Arbeitsebene</t>
  </si>
  <si>
    <t>P44-04</t>
  </si>
  <si>
    <t>Pfahlart</t>
  </si>
  <si>
    <t>Typ</t>
  </si>
  <si>
    <t>bewehrt</t>
  </si>
  <si>
    <t>Neigung</t>
  </si>
  <si>
    <t>°</t>
  </si>
  <si>
    <t>Bew Typ</t>
  </si>
  <si>
    <t>Block00</t>
  </si>
  <si>
    <t>Block01</t>
  </si>
  <si>
    <t>lt. Plan Nr.:</t>
  </si>
  <si>
    <t>S16_02500_ZL6_301904955_KMP-G45000_SB_B</t>
  </si>
  <si>
    <t>Bewehrung</t>
  </si>
  <si>
    <t>kg</t>
  </si>
  <si>
    <t>Betongüte</t>
  </si>
  <si>
    <t>C25-30</t>
  </si>
  <si>
    <t>Konsistenz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</si>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</sst>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left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left"/>
    </xf>
    <xf numFmtId="2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0" fillId="33" borderId="14" xfId="0" applyFill="1" applyBorder="1" applyAlignment="1">
      <alignment horizontal="left"/>
    </xf>
    <xf numFmtId="2" fontId="0" fillId="33" borderId="14" xfId="0" applyNumberFormat="1" applyFill="1" applyBorder="1" applyAlignment="1">
      <alignment horizontal="center"/>
    </xf>
    <xf numFmtId="0" fontId="0" fillId="33" borderId="11" xfId="0" applyFill="1" applyBorder="1" applyAlignment="1">
      <alignment horizontal="left"/>
    </xf>
    <xf numFmtId="2" fontId="0" fillId="33" borderId="11" xfId="0" applyNumberFormat="1" applyFill="1" applyBorder="1" applyAlignment="1">
      <alignment horizontal="center"/>
    </xf>
    <xf numFmtId="0" fontId="0" fillId="33" borderId="13" xfId="0" applyFill="1" applyBorder="1" applyAlignment="1">
      <alignment horizontal="left"/>
    </xf>
    <xf numFmtId="2" fontId="0" fillId="33" borderId="13" xfId="0" applyNumberFormat="1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2" fontId="0" fillId="33" borderId="10" xfId="0" applyNumberFormat="1" applyFill="1" applyBorder="1" applyAlignment="1">
      <alignment horizontal="center"/>
    </xf>
    <xf numFmtId="0" fontId="0" fillId="33" borderId="12" xfId="0" applyFill="1" applyBorder="1" applyAlignment="1">
      <alignment horizontal="left"/>
    </xf>
    <xf numFmtId="2" fontId="0" fillId="33" borderId="12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33" borderId="14" xfId="0" applyNumberFormat="1" applyFill="1" applyBorder="1" applyAlignment="1">
      <alignment horizontal="center"/>
    </xf>
    <xf numFmtId="165" fontId="0" fillId="33" borderId="11" xfId="0" applyNumberFormat="1" applyFill="1" applyBorder="1" applyAlignment="1">
      <alignment horizontal="center"/>
    </xf>
    <xf numFmtId="165" fontId="0" fillId="33" borderId="13" xfId="0" applyNumberFormat="1" applyFill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165" fontId="0" fillId="33" borderId="12" xfId="0" applyNumberForma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10" xfId="0" quotePrefix="1" applyNumberFormat="1" applyBorder="1" applyAlignment="1">
      <alignment horizontal="center"/>
    </xf>
    <xf numFmtId="164" fontId="0" fillId="0" borderId="11" xfId="0" quotePrefix="1" applyNumberFormat="1" applyBorder="1" applyAlignment="1">
      <alignment horizontal="center"/>
    </xf>
    <xf numFmtId="164" fontId="0" fillId="0" borderId="12" xfId="0" quotePrefix="1" applyNumberFormat="1" applyBorder="1" applyAlignment="1">
      <alignment horizontal="center"/>
    </xf>
    <xf numFmtId="164" fontId="0" fillId="33" borderId="14" xfId="0" quotePrefix="1" applyNumberFormat="1" applyFill="1" applyBorder="1" applyAlignment="1">
      <alignment horizontal="center"/>
    </xf>
    <xf numFmtId="164" fontId="0" fillId="33" borderId="11" xfId="0" quotePrefix="1" applyNumberFormat="1" applyFill="1" applyBorder="1" applyAlignment="1">
      <alignment horizontal="center"/>
    </xf>
    <xf numFmtId="164" fontId="0" fillId="33" borderId="13" xfId="0" quotePrefix="1" applyNumberFormat="1" applyFill="1" applyBorder="1" applyAlignment="1">
      <alignment horizontal="center"/>
    </xf>
    <xf numFmtId="164" fontId="0" fillId="33" borderId="10" xfId="0" quotePrefix="1" applyNumberFormat="1" applyFill="1" applyBorder="1" applyAlignment="1">
      <alignment horizontal="center"/>
    </xf>
    <xf numFmtId="164" fontId="0" fillId="33" borderId="12" xfId="0" quotePrefix="1" applyNumberFormat="1" applyFill="1" applyBorder="1" applyAlignment="1">
      <alignment horizontal="center"/>
    </xf>
    <xf numFmtId="164" fontId="0" fillId="0" borderId="14" xfId="0" quotePrefix="1" applyNumberFormat="1" applyBorder="1" applyAlignment="1">
      <alignment horizontal="center"/>
    </xf>
    <xf numFmtId="164" fontId="0" fillId="0" borderId="13" xfId="0" quotePrefix="1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33" borderId="14" xfId="0" applyNumberFormat="1" applyFill="1" applyBorder="1" applyAlignment="1">
      <alignment horizontal="center"/>
    </xf>
    <xf numFmtId="49" fontId="0" fillId="33" borderId="11" xfId="0" applyNumberFormat="1" applyFill="1" applyBorder="1" applyAlignment="1">
      <alignment horizontal="center"/>
    </xf>
    <xf numFmtId="49" fontId="0" fillId="33" borderId="13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33" borderId="10" xfId="0" applyNumberFormat="1" applyFill="1" applyBorder="1" applyAlignment="1">
      <alignment horizontal="center"/>
    </xf>
    <xf numFmtId="49" fontId="0" fillId="33" borderId="12" xfId="0" applyNumberFormat="1" applyFill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33" borderId="19" xfId="0" applyNumberFormat="1" applyFill="1" applyBorder="1" applyAlignment="1">
      <alignment horizontal="center"/>
    </xf>
    <xf numFmtId="165" fontId="0" fillId="33" borderId="17" xfId="0" applyNumberFormat="1" applyFill="1" applyBorder="1" applyAlignment="1">
      <alignment horizontal="center"/>
    </xf>
    <xf numFmtId="165" fontId="0" fillId="33" borderId="16" xfId="0" applyNumberFormat="1" applyFill="1" applyBorder="1" applyAlignment="1">
      <alignment horizontal="center"/>
    </xf>
    <xf numFmtId="165" fontId="0" fillId="33" borderId="15" xfId="0" applyNumberFormat="1" applyFill="1" applyBorder="1" applyAlignment="1">
      <alignment horizontal="center"/>
    </xf>
    <xf numFmtId="165" fontId="0" fillId="33" borderId="18" xfId="0" applyNumberFormat="1" applyFill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20" fillId="0" borderId="14" xfId="0" applyNumberFormat="1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5" fontId="20" fillId="33" borderId="1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4" borderId="11" xfId="0" applyNumberFormat="1" applyFill="1" applyBorder="1" applyAlignment="1">
      <alignment horizontal="center"/>
    </xf>
    <xf numFmtId="2" fontId="0" fillId="34" borderId="12" xfId="0" applyNumberFormat="1" applyFill="1" applyBorder="1" applyAlignment="1">
      <alignment horizontal="center"/>
    </xf>
    <xf numFmtId="2" fontId="0" fillId="34" borderId="14" xfId="0" applyNumberFormat="1" applyFill="1" applyBorder="1" applyAlignment="1">
      <alignment horizontal="center"/>
    </xf>
    <xf numFmtId="2" fontId="0" fillId="34" borderId="13" xfId="0" applyNumberFormat="1" applyFill="1" applyBorder="1" applyAlignment="1">
      <alignment horizontal="center"/>
    </xf>
    <xf numFmtId="0" fontId="16" fillId="0" borderId="0" xfId="0" applyFont="1"/>
    <xf numFmtId="165" fontId="0" fillId="0" borderId="2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 vertical="center"/>
    </xf>
    <xf numFmtId="165" fontId="0" fillId="33" borderId="0" xfId="0" applyNumberFormat="1" applyFill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1"/>
  <sheetViews>
    <sheetView tabSelected="1" zoomScaleNormal="100" zoomScaleSheetLayoutView="115" workbookViewId="0">
      <pane ySplit="1" topLeftCell="A2" activePane="bottomLeft" state="frozen"/>
      <selection pane="bottomLeft" activeCell="M98" sqref="M98"/>
    </sheetView>
  </sheetViews>
  <sheetFormatPr baseColWidth="10" defaultRowHeight="14.4" x14ac:dyDescent="0.3"/>
  <cols>
    <col min="1" max="1" width="9" customWidth="1"/>
    <col min="2" max="2" width="9" style="1" customWidth="1"/>
    <col min="3" max="3" width="10.44140625" style="2" customWidth="1"/>
    <col min="4" max="4" width="11.6640625" style="74" customWidth="1"/>
    <col min="5" max="5" width="12.5546875" style="90" customWidth="1"/>
    <col min="6" max="6" width="12.6640625" style="90" customWidth="1"/>
    <col min="7" max="8" width="11.44140625" style="51" customWidth="1"/>
    <col min="9" max="9" width="13.109375" customWidth="1"/>
    <col min="10" max="11" width="11.44140625" customWidth="1"/>
    <col min="13" max="13" width="40.88671875" bestFit="1" customWidth="1"/>
  </cols>
  <sheetData>
    <row r="1" spans="1:16" x14ac:dyDescent="0.3">
      <c r="A1" s="3" t="s">
        <v>293</v>
      </c>
      <c r="B1" s="3" t="s">
        <v>300</v>
      </c>
      <c r="C1" s="5" t="s">
        <v>296</v>
      </c>
      <c r="D1" s="62" t="s">
        <v>302</v>
      </c>
      <c r="E1" s="4" t="s">
        <v>295</v>
      </c>
      <c r="F1" s="4" t="s">
        <v>294</v>
      </c>
      <c r="G1" s="39" t="s">
        <v>304</v>
      </c>
      <c r="H1" s="39" t="s">
        <v>305</v>
      </c>
      <c r="I1" s="75" t="s">
        <v>306</v>
      </c>
      <c r="J1" s="98" t="s">
        <v>308</v>
      </c>
      <c r="K1" s="98" t="s">
        <v>311</v>
      </c>
      <c r="L1" s="98" t="s">
        <v>313</v>
      </c>
      <c r="M1" s="98" t="s">
        <v>316</v>
      </c>
      <c r="N1" s="98" t="s">
        <v>318</v>
      </c>
      <c r="O1" s="98" t="s">
        <v>320</v>
      </c>
      <c r="P1" s="98" t="s">
        <v>322</v>
      </c>
    </row>
    <row r="2" spans="1:16" x14ac:dyDescent="0.3">
      <c r="A2" s="10" t="s">
        <v>298</v>
      </c>
      <c r="B2" s="10" t="s">
        <v>301</v>
      </c>
      <c r="C2" s="12" t="s">
        <v>297</v>
      </c>
      <c r="D2" s="63" t="s">
        <v>298</v>
      </c>
      <c r="E2" s="11" t="s">
        <v>297</v>
      </c>
      <c r="F2" s="11" t="s">
        <v>297</v>
      </c>
      <c r="G2" s="40" t="s">
        <v>299</v>
      </c>
      <c r="H2" s="40" t="s">
        <v>299</v>
      </c>
      <c r="I2" s="76" t="s">
        <v>299</v>
      </c>
      <c r="J2" s="98" t="s">
        <v>309</v>
      </c>
      <c r="K2" s="98" t="s">
        <v>312</v>
      </c>
      <c r="N2" s="98" t="s">
        <v>319</v>
      </c>
    </row>
    <row r="3" spans="1:16" ht="15" customHeight="1" x14ac:dyDescent="0.3">
      <c r="A3" s="19" t="s">
        <v>0</v>
      </c>
      <c r="B3" s="32">
        <v>88</v>
      </c>
      <c r="C3" s="20">
        <v>18</v>
      </c>
      <c r="D3" s="64" t="s">
        <v>303</v>
      </c>
      <c r="E3" s="55">
        <v>19164.871299999999</v>
      </c>
      <c r="F3" s="55">
        <v>225305.64249999999</v>
      </c>
      <c r="G3" s="44">
        <v>747.04985651258698</v>
      </c>
      <c r="H3" s="44">
        <v>765.04985651258698</v>
      </c>
      <c r="I3" s="80">
        <f>H3+0.917</f>
        <v>765.96685651258701</v>
      </c>
      <c r="J3" t="s">
        <v>310</v>
      </c>
      <c r="K3" s="99">
        <v>0</v>
      </c>
      <c r="L3" t="s">
        <v>314</v>
      </c>
      <c r="M3" t="s">
        <v>317</v>
      </c>
      <c r="N3">
        <v>1500</v>
      </c>
      <c r="O3" t="s">
        <v>321</v>
      </c>
      <c r="P3" t="s">
        <v>323</v>
      </c>
    </row>
    <row r="4" spans="1:16" ht="15" customHeight="1" x14ac:dyDescent="0.3">
      <c r="A4" s="21" t="s">
        <v>1</v>
      </c>
      <c r="B4" s="33">
        <v>88</v>
      </c>
      <c r="C4" s="22">
        <v>18</v>
      </c>
      <c r="D4" s="65" t="s">
        <v>303</v>
      </c>
      <c r="E4" s="56">
        <v>19162.598600000001</v>
      </c>
      <c r="F4" s="56">
        <v>225303.49720000001</v>
      </c>
      <c r="G4" s="45">
        <v>747.02623583838704</v>
      </c>
      <c r="H4" s="45">
        <v>765.02623583838704</v>
      </c>
      <c r="I4" s="81">
        <f t="shared" ref="I4:I10" si="0">H4+0.917</f>
        <v>765.94323583838707</v>
      </c>
      <c r="J4" t="s">
        <v>310</v>
      </c>
      <c r="K4" s="99">
        <v>0</v>
      </c>
      <c r="L4" t="s">
        <v>314</v>
      </c>
      <c r="M4" t="s">
        <v>317</v>
      </c>
      <c r="N4">
        <v>2000</v>
      </c>
      <c r="O4" t="s">
        <v>321</v>
      </c>
      <c r="P4" t="s">
        <v>324</v>
      </c>
    </row>
    <row r="5" spans="1:16" ht="15" customHeight="1" x14ac:dyDescent="0.3">
      <c r="A5" s="21" t="s">
        <v>2</v>
      </c>
      <c r="B5" s="33">
        <v>88</v>
      </c>
      <c r="C5" s="22">
        <v>18</v>
      </c>
      <c r="D5" s="65" t="s">
        <v>303</v>
      </c>
      <c r="E5" s="56">
        <v>19160.3282</v>
      </c>
      <c r="F5" s="56">
        <v>225301.34950000001</v>
      </c>
      <c r="G5" s="45">
        <v>747.00286160469204</v>
      </c>
      <c r="H5" s="45">
        <v>765.00286160469204</v>
      </c>
      <c r="I5" s="81">
        <f t="shared" si="0"/>
        <v>765.91986160469207</v>
      </c>
      <c r="J5" t="s">
        <v>310</v>
      </c>
      <c r="K5" s="99">
        <v>0</v>
      </c>
      <c r="L5" t="s">
        <v>314</v>
      </c>
      <c r="M5" t="s">
        <v>317</v>
      </c>
      <c r="N5">
        <v>3000</v>
      </c>
      <c r="O5" t="s">
        <v>321</v>
      </c>
      <c r="P5" t="s">
        <v>325</v>
      </c>
    </row>
    <row r="6" spans="1:16" ht="15" customHeight="1" x14ac:dyDescent="0.3">
      <c r="A6" s="21" t="s">
        <v>3</v>
      </c>
      <c r="B6" s="33">
        <v>88</v>
      </c>
      <c r="C6" s="22">
        <v>18</v>
      </c>
      <c r="D6" s="65" t="s">
        <v>303</v>
      </c>
      <c r="E6" s="56">
        <v>19158.060000000001</v>
      </c>
      <c r="F6" s="56">
        <v>225299.19949999999</v>
      </c>
      <c r="G6" s="45">
        <v>746.97973381150405</v>
      </c>
      <c r="H6" s="45">
        <v>764.97973381150496</v>
      </c>
      <c r="I6" s="81">
        <f t="shared" si="0"/>
        <v>765.89673381150499</v>
      </c>
      <c r="J6" t="s">
        <v>310</v>
      </c>
      <c r="K6" s="99">
        <v>0</v>
      </c>
      <c r="L6" t="s">
        <v>314</v>
      </c>
      <c r="M6" t="s">
        <v>317</v>
      </c>
      <c r="N6">
        <v>3000</v>
      </c>
      <c r="O6" t="s">
        <v>321</v>
      </c>
      <c r="P6" t="s">
        <v>326</v>
      </c>
    </row>
    <row r="7" spans="1:16" ht="15" customHeight="1" x14ac:dyDescent="0.3">
      <c r="A7" s="21" t="s">
        <v>4</v>
      </c>
      <c r="B7" s="33">
        <v>88</v>
      </c>
      <c r="C7" s="22">
        <v>18</v>
      </c>
      <c r="D7" s="65" t="s">
        <v>303</v>
      </c>
      <c r="E7" s="56">
        <v>19155.794000000002</v>
      </c>
      <c r="F7" s="56">
        <v>225297.04699999999</v>
      </c>
      <c r="G7" s="45">
        <v>746.95685245882305</v>
      </c>
      <c r="H7" s="45">
        <v>764.95685245882305</v>
      </c>
      <c r="I7" s="81">
        <f t="shared" si="0"/>
        <v>765.87385245882308</v>
      </c>
      <c r="J7" t="s">
        <v>310</v>
      </c>
      <c r="K7" s="99">
        <v>0</v>
      </c>
      <c r="L7" t="s">
        <v>314</v>
      </c>
      <c r="M7" t="s">
        <v>317</v>
      </c>
      <c r="N7">
        <v>3000</v>
      </c>
      <c r="O7" t="s">
        <v>321</v>
      </c>
      <c r="P7" t="s">
        <v>327</v>
      </c>
    </row>
    <row r="8" spans="1:16" ht="15" customHeight="1" x14ac:dyDescent="0.3">
      <c r="A8" s="21" t="s">
        <v>5</v>
      </c>
      <c r="B8" s="33">
        <v>88</v>
      </c>
      <c r="C8" s="22">
        <v>18</v>
      </c>
      <c r="D8" s="65" t="s">
        <v>303</v>
      </c>
      <c r="E8" s="56">
        <v>19153.5304</v>
      </c>
      <c r="F8" s="56">
        <v>225294.8922</v>
      </c>
      <c r="G8" s="45">
        <v>746.93421754664803</v>
      </c>
      <c r="H8" s="45">
        <v>764.93421754664803</v>
      </c>
      <c r="I8" s="81">
        <f t="shared" si="0"/>
        <v>765.85121754664806</v>
      </c>
      <c r="J8" t="s">
        <v>310</v>
      </c>
      <c r="K8" s="99">
        <v>0</v>
      </c>
      <c r="L8" t="s">
        <v>314</v>
      </c>
      <c r="M8" t="s">
        <v>317</v>
      </c>
      <c r="N8">
        <v>3000</v>
      </c>
      <c r="O8" t="s">
        <v>321</v>
      </c>
      <c r="P8" t="s">
        <v>328</v>
      </c>
    </row>
    <row r="9" spans="1:16" ht="15" customHeight="1" x14ac:dyDescent="0.3">
      <c r="A9" s="21" t="s">
        <v>6</v>
      </c>
      <c r="B9" s="33">
        <v>88</v>
      </c>
      <c r="C9" s="22">
        <v>18</v>
      </c>
      <c r="D9" s="65" t="s">
        <v>303</v>
      </c>
      <c r="E9" s="56">
        <v>19151.269</v>
      </c>
      <c r="F9" s="56">
        <v>225292.73499999999</v>
      </c>
      <c r="G9" s="45">
        <v>746.91182907497898</v>
      </c>
      <c r="H9" s="45">
        <v>764.91182907497898</v>
      </c>
      <c r="I9" s="81">
        <f t="shared" si="0"/>
        <v>765.82882907497901</v>
      </c>
      <c r="J9" t="s">
        <v>310</v>
      </c>
      <c r="K9" s="99">
        <v>0</v>
      </c>
      <c r="L9" t="s">
        <v>314</v>
      </c>
      <c r="M9" t="s">
        <v>317</v>
      </c>
      <c r="N9">
        <v>3000</v>
      </c>
      <c r="O9" t="s">
        <v>321</v>
      </c>
      <c r="P9" t="s">
        <v>329</v>
      </c>
    </row>
    <row r="10" spans="1:16" ht="15" customHeight="1" thickBot="1" x14ac:dyDescent="0.35">
      <c r="A10" s="23" t="s">
        <v>7</v>
      </c>
      <c r="B10" s="34">
        <v>88</v>
      </c>
      <c r="C10" s="24">
        <v>18</v>
      </c>
      <c r="D10" s="66" t="s">
        <v>303</v>
      </c>
      <c r="E10" s="57">
        <v>19149.0098</v>
      </c>
      <c r="F10" s="57">
        <v>225290.5754</v>
      </c>
      <c r="G10" s="46">
        <v>746.88968704381602</v>
      </c>
      <c r="H10" s="46">
        <v>764.88968704381602</v>
      </c>
      <c r="I10" s="82">
        <f t="shared" si="0"/>
        <v>765.80668704381605</v>
      </c>
      <c r="J10" t="s">
        <v>310</v>
      </c>
      <c r="K10" s="99">
        <v>0</v>
      </c>
      <c r="L10" t="s">
        <v>314</v>
      </c>
      <c r="M10" t="s">
        <v>317</v>
      </c>
      <c r="N10">
        <v>3000</v>
      </c>
      <c r="O10" t="s">
        <v>321</v>
      </c>
      <c r="P10" t="s">
        <v>330</v>
      </c>
    </row>
    <row r="11" spans="1:16" ht="15" customHeight="1" x14ac:dyDescent="0.3">
      <c r="A11" s="17" t="s">
        <v>8</v>
      </c>
      <c r="B11" s="29">
        <v>88</v>
      </c>
      <c r="C11" s="18">
        <v>17</v>
      </c>
      <c r="D11" s="67" t="s">
        <v>303</v>
      </c>
      <c r="E11" s="52">
        <v>19146.723999999998</v>
      </c>
      <c r="F11" s="52">
        <v>225288.38579999999</v>
      </c>
      <c r="G11" s="41">
        <v>747.86751234046005</v>
      </c>
      <c r="H11" s="41">
        <v>764.86751234046005</v>
      </c>
      <c r="I11" s="77">
        <f>H11+0.917</f>
        <v>765.78451234046008</v>
      </c>
      <c r="J11" t="s">
        <v>310</v>
      </c>
      <c r="K11" s="99">
        <v>0</v>
      </c>
      <c r="L11" t="s">
        <v>315</v>
      </c>
      <c r="M11" t="s">
        <v>317</v>
      </c>
      <c r="N11">
        <v>3000</v>
      </c>
      <c r="O11" t="s">
        <v>321</v>
      </c>
      <c r="P11" t="s">
        <v>331</v>
      </c>
    </row>
    <row r="12" spans="1:16" x14ac:dyDescent="0.3">
      <c r="A12" s="6" t="s">
        <v>9</v>
      </c>
      <c r="B12" s="30">
        <v>88</v>
      </c>
      <c r="C12" s="7">
        <v>17</v>
      </c>
      <c r="D12" s="68" t="s">
        <v>303</v>
      </c>
      <c r="E12" s="53">
        <v>19144.650000000001</v>
      </c>
      <c r="F12" s="53">
        <v>225286.39499999999</v>
      </c>
      <c r="G12" s="42">
        <v>747.847591721904</v>
      </c>
      <c r="H12" s="42">
        <v>764.847591721904</v>
      </c>
      <c r="I12" s="78">
        <f t="shared" ref="I12:I75" si="1">H12+0.917</f>
        <v>765.76459172190403</v>
      </c>
      <c r="J12" t="s">
        <v>310</v>
      </c>
      <c r="K12" s="99">
        <v>0</v>
      </c>
      <c r="L12" t="s">
        <v>315</v>
      </c>
      <c r="M12" t="s">
        <v>317</v>
      </c>
      <c r="N12">
        <v>3000</v>
      </c>
      <c r="O12" t="s">
        <v>321</v>
      </c>
      <c r="P12" t="s">
        <v>332</v>
      </c>
    </row>
    <row r="13" spans="1:16" x14ac:dyDescent="0.3">
      <c r="A13" s="6" t="s">
        <v>10</v>
      </c>
      <c r="B13" s="30">
        <v>88</v>
      </c>
      <c r="C13" s="7">
        <v>17</v>
      </c>
      <c r="D13" s="68" t="s">
        <v>303</v>
      </c>
      <c r="E13" s="53">
        <v>19142.036700000001</v>
      </c>
      <c r="F13" s="53">
        <v>225283.8811</v>
      </c>
      <c r="G13" s="42">
        <v>747.82276275666595</v>
      </c>
      <c r="H13" s="42">
        <v>764.82276275666595</v>
      </c>
      <c r="I13" s="78">
        <f t="shared" si="1"/>
        <v>765.73976275666598</v>
      </c>
      <c r="J13" t="s">
        <v>310</v>
      </c>
      <c r="K13" s="99">
        <v>0</v>
      </c>
      <c r="L13" t="s">
        <v>315</v>
      </c>
      <c r="M13" t="s">
        <v>317</v>
      </c>
      <c r="N13">
        <v>3000</v>
      </c>
      <c r="O13" t="s">
        <v>321</v>
      </c>
      <c r="P13" t="s">
        <v>333</v>
      </c>
    </row>
    <row r="14" spans="1:16" x14ac:dyDescent="0.3">
      <c r="A14" s="6" t="s">
        <v>11</v>
      </c>
      <c r="B14" s="30">
        <v>88</v>
      </c>
      <c r="C14" s="7">
        <v>17</v>
      </c>
      <c r="D14" s="68" t="s">
        <v>303</v>
      </c>
      <c r="E14" s="53">
        <v>19140.392400000001</v>
      </c>
      <c r="F14" s="53">
        <v>225282.29610000001</v>
      </c>
      <c r="G14" s="42">
        <v>747.80729490234603</v>
      </c>
      <c r="H14" s="42">
        <v>764.80729490234603</v>
      </c>
      <c r="I14" s="78">
        <f t="shared" si="1"/>
        <v>765.72429490234606</v>
      </c>
      <c r="J14" t="s">
        <v>310</v>
      </c>
      <c r="K14" s="99">
        <v>0</v>
      </c>
      <c r="L14" t="s">
        <v>315</v>
      </c>
      <c r="M14" t="s">
        <v>317</v>
      </c>
      <c r="N14">
        <v>3000</v>
      </c>
      <c r="O14" t="s">
        <v>321</v>
      </c>
      <c r="P14" t="s">
        <v>334</v>
      </c>
    </row>
    <row r="15" spans="1:16" x14ac:dyDescent="0.3">
      <c r="A15" s="6" t="s">
        <v>12</v>
      </c>
      <c r="B15" s="30">
        <v>88</v>
      </c>
      <c r="C15" s="7">
        <v>17</v>
      </c>
      <c r="D15" s="68" t="s">
        <v>303</v>
      </c>
      <c r="E15" s="53">
        <v>19137.2945</v>
      </c>
      <c r="F15" s="53">
        <v>225279.3034</v>
      </c>
      <c r="G15" s="42">
        <v>747.778481223727</v>
      </c>
      <c r="H15" s="42">
        <v>764.778481223727</v>
      </c>
      <c r="I15" s="78">
        <f t="shared" si="1"/>
        <v>765.69548122372703</v>
      </c>
      <c r="J15" t="s">
        <v>310</v>
      </c>
      <c r="K15" s="99">
        <v>0</v>
      </c>
      <c r="L15" t="s">
        <v>315</v>
      </c>
      <c r="M15" t="s">
        <v>317</v>
      </c>
      <c r="N15">
        <v>3000</v>
      </c>
      <c r="O15" t="s">
        <v>321</v>
      </c>
      <c r="P15" t="s">
        <v>335</v>
      </c>
    </row>
    <row r="16" spans="1:16" x14ac:dyDescent="0.3">
      <c r="A16" s="6" t="s">
        <v>13</v>
      </c>
      <c r="B16" s="30">
        <v>88</v>
      </c>
      <c r="C16" s="7">
        <v>17</v>
      </c>
      <c r="D16" s="68" t="s">
        <v>303</v>
      </c>
      <c r="E16" s="53">
        <v>19135.4738</v>
      </c>
      <c r="F16" s="53">
        <v>225277.5405</v>
      </c>
      <c r="G16" s="42">
        <v>747.76174679224198</v>
      </c>
      <c r="H16" s="42">
        <v>764.76174679224198</v>
      </c>
      <c r="I16" s="78">
        <f t="shared" si="1"/>
        <v>765.67874679224201</v>
      </c>
      <c r="J16" t="s">
        <v>310</v>
      </c>
      <c r="K16" s="99">
        <v>0</v>
      </c>
      <c r="L16" t="s">
        <v>315</v>
      </c>
      <c r="M16" t="s">
        <v>317</v>
      </c>
      <c r="N16">
        <v>3000</v>
      </c>
      <c r="O16" t="s">
        <v>321</v>
      </c>
      <c r="P16" t="s">
        <v>336</v>
      </c>
    </row>
    <row r="17" spans="1:16" x14ac:dyDescent="0.3">
      <c r="A17" s="6" t="s">
        <v>14</v>
      </c>
      <c r="B17" s="30">
        <v>88</v>
      </c>
      <c r="C17" s="7">
        <v>17</v>
      </c>
      <c r="D17" s="68" t="s">
        <v>303</v>
      </c>
      <c r="E17" s="53">
        <v>19133.230599999999</v>
      </c>
      <c r="F17" s="53">
        <v>225275.36439999999</v>
      </c>
      <c r="G17" s="42">
        <v>747.74133300411802</v>
      </c>
      <c r="H17" s="42">
        <v>764.74133300411802</v>
      </c>
      <c r="I17" s="78">
        <f t="shared" si="1"/>
        <v>765.65833300411805</v>
      </c>
      <c r="J17" t="s">
        <v>310</v>
      </c>
      <c r="K17" s="99">
        <v>0</v>
      </c>
      <c r="L17" t="s">
        <v>315</v>
      </c>
      <c r="M17" t="s">
        <v>317</v>
      </c>
      <c r="N17">
        <v>3000</v>
      </c>
      <c r="O17" t="s">
        <v>321</v>
      </c>
      <c r="P17" t="s">
        <v>337</v>
      </c>
    </row>
    <row r="18" spans="1:16" ht="15" thickBot="1" x14ac:dyDescent="0.35">
      <c r="A18" s="8" t="s">
        <v>15</v>
      </c>
      <c r="B18" s="31">
        <v>88</v>
      </c>
      <c r="C18" s="9">
        <v>17</v>
      </c>
      <c r="D18" s="69" t="s">
        <v>303</v>
      </c>
      <c r="E18" s="54">
        <v>19130.989600000001</v>
      </c>
      <c r="F18" s="54">
        <v>225273.18599999999</v>
      </c>
      <c r="G18" s="43">
        <v>747.72116565650003</v>
      </c>
      <c r="H18" s="43">
        <v>764.72116565650003</v>
      </c>
      <c r="I18" s="79">
        <f t="shared" si="1"/>
        <v>765.63816565650006</v>
      </c>
      <c r="J18" t="s">
        <v>310</v>
      </c>
      <c r="K18" s="99">
        <v>0</v>
      </c>
      <c r="L18" t="s">
        <v>315</v>
      </c>
      <c r="M18" t="s">
        <v>317</v>
      </c>
      <c r="N18">
        <v>3000</v>
      </c>
      <c r="O18" t="s">
        <v>321</v>
      </c>
      <c r="P18" t="s">
        <v>338</v>
      </c>
    </row>
    <row r="19" spans="1:16" ht="15" customHeight="1" x14ac:dyDescent="0.3">
      <c r="A19" s="19" t="s">
        <v>16</v>
      </c>
      <c r="B19" s="32">
        <v>88</v>
      </c>
      <c r="C19" s="20">
        <v>16</v>
      </c>
      <c r="D19" s="64" t="s">
        <v>303</v>
      </c>
      <c r="E19" s="55">
        <v>19128.722300000001</v>
      </c>
      <c r="F19" s="55">
        <v>225270.97719999999</v>
      </c>
      <c r="G19" s="44">
        <v>748.70099095314299</v>
      </c>
      <c r="H19" s="44">
        <v>764.70099095314299</v>
      </c>
      <c r="I19" s="80">
        <f t="shared" si="1"/>
        <v>765.61799095314302</v>
      </c>
      <c r="J19" t="s">
        <v>310</v>
      </c>
      <c r="K19" s="99">
        <v>0</v>
      </c>
      <c r="L19" t="s">
        <v>315</v>
      </c>
      <c r="M19" t="s">
        <v>317</v>
      </c>
      <c r="N19">
        <v>3000</v>
      </c>
      <c r="O19" t="s">
        <v>321</v>
      </c>
      <c r="P19" t="s">
        <v>339</v>
      </c>
    </row>
    <row r="20" spans="1:16" x14ac:dyDescent="0.3">
      <c r="A20" s="21" t="s">
        <v>17</v>
      </c>
      <c r="B20" s="33">
        <v>88</v>
      </c>
      <c r="C20" s="22">
        <v>16</v>
      </c>
      <c r="D20" s="65" t="s">
        <v>303</v>
      </c>
      <c r="E20" s="56">
        <v>19126.486000000001</v>
      </c>
      <c r="F20" s="56">
        <v>225268.79399999999</v>
      </c>
      <c r="G20" s="45">
        <v>748.68131964603197</v>
      </c>
      <c r="H20" s="45">
        <v>764.68131964603197</v>
      </c>
      <c r="I20" s="81">
        <f t="shared" si="1"/>
        <v>765.598319646032</v>
      </c>
      <c r="J20" t="s">
        <v>310</v>
      </c>
      <c r="K20" s="99">
        <v>0</v>
      </c>
      <c r="L20" t="s">
        <v>315</v>
      </c>
      <c r="M20" t="s">
        <v>317</v>
      </c>
      <c r="N20">
        <v>3000</v>
      </c>
      <c r="O20" t="s">
        <v>321</v>
      </c>
      <c r="P20" t="s">
        <v>340</v>
      </c>
    </row>
    <row r="21" spans="1:16" x14ac:dyDescent="0.3">
      <c r="A21" s="21" t="s">
        <v>18</v>
      </c>
      <c r="B21" s="33">
        <v>88</v>
      </c>
      <c r="C21" s="22">
        <v>16</v>
      </c>
      <c r="D21" s="65" t="s">
        <v>303</v>
      </c>
      <c r="E21" s="56">
        <v>19124.252</v>
      </c>
      <c r="F21" s="56">
        <v>225266.6084</v>
      </c>
      <c r="G21" s="45">
        <v>748.66189477942601</v>
      </c>
      <c r="H21" s="45">
        <v>764.66189477942601</v>
      </c>
      <c r="I21" s="81">
        <f t="shared" si="1"/>
        <v>765.57889477942604</v>
      </c>
      <c r="J21" t="s">
        <v>310</v>
      </c>
      <c r="K21" s="99">
        <v>0</v>
      </c>
      <c r="L21" t="s">
        <v>315</v>
      </c>
      <c r="M21" t="s">
        <v>317</v>
      </c>
      <c r="N21">
        <v>3000</v>
      </c>
      <c r="O21" t="s">
        <v>321</v>
      </c>
      <c r="P21" t="s">
        <v>341</v>
      </c>
    </row>
    <row r="22" spans="1:16" x14ac:dyDescent="0.3">
      <c r="A22" s="21" t="s">
        <v>19</v>
      </c>
      <c r="B22" s="33">
        <v>88</v>
      </c>
      <c r="C22" s="22">
        <v>16</v>
      </c>
      <c r="D22" s="65" t="s">
        <v>303</v>
      </c>
      <c r="E22" s="56">
        <v>19122.020199999999</v>
      </c>
      <c r="F22" s="56">
        <v>225264.42060000001</v>
      </c>
      <c r="G22" s="45">
        <v>748.64271635332705</v>
      </c>
      <c r="H22" s="45">
        <v>764.64271635332705</v>
      </c>
      <c r="I22" s="81">
        <f t="shared" si="1"/>
        <v>765.55971635332708</v>
      </c>
      <c r="J22" t="s">
        <v>310</v>
      </c>
      <c r="K22" s="99">
        <v>0</v>
      </c>
      <c r="L22" t="s">
        <v>315</v>
      </c>
      <c r="M22" t="s">
        <v>317</v>
      </c>
      <c r="N22">
        <v>3000</v>
      </c>
      <c r="O22" t="s">
        <v>321</v>
      </c>
      <c r="P22" t="s">
        <v>342</v>
      </c>
    </row>
    <row r="23" spans="1:16" x14ac:dyDescent="0.3">
      <c r="A23" s="21" t="s">
        <v>20</v>
      </c>
      <c r="B23" s="33">
        <v>88</v>
      </c>
      <c r="C23" s="22">
        <v>16</v>
      </c>
      <c r="D23" s="65" t="s">
        <v>303</v>
      </c>
      <c r="E23" s="56">
        <v>19119.790799999999</v>
      </c>
      <c r="F23" s="56">
        <v>225262.2303</v>
      </c>
      <c r="G23" s="45">
        <v>748.62378436773497</v>
      </c>
      <c r="H23" s="45">
        <v>764.62378436773497</v>
      </c>
      <c r="I23" s="81">
        <f t="shared" si="1"/>
        <v>765.540784367735</v>
      </c>
      <c r="J23" t="s">
        <v>310</v>
      </c>
      <c r="K23" s="99">
        <v>0</v>
      </c>
      <c r="L23" t="s">
        <v>315</v>
      </c>
      <c r="M23" t="s">
        <v>317</v>
      </c>
      <c r="N23">
        <v>3000</v>
      </c>
      <c r="O23" t="s">
        <v>321</v>
      </c>
      <c r="P23" t="s">
        <v>343</v>
      </c>
    </row>
    <row r="24" spans="1:16" x14ac:dyDescent="0.3">
      <c r="A24" s="21" t="s">
        <v>21</v>
      </c>
      <c r="B24" s="33">
        <v>88</v>
      </c>
      <c r="C24" s="22">
        <v>16</v>
      </c>
      <c r="D24" s="65" t="s">
        <v>303</v>
      </c>
      <c r="E24" s="56">
        <v>19117.563600000001</v>
      </c>
      <c r="F24" s="56">
        <v>225260.03779999999</v>
      </c>
      <c r="G24" s="45">
        <v>748.60509882264796</v>
      </c>
      <c r="H24" s="45">
        <v>764.60509882264796</v>
      </c>
      <c r="I24" s="81">
        <f t="shared" si="1"/>
        <v>765.52209882264799</v>
      </c>
      <c r="J24" t="s">
        <v>310</v>
      </c>
      <c r="K24" s="99">
        <v>0</v>
      </c>
      <c r="L24" t="s">
        <v>315</v>
      </c>
      <c r="M24" t="s">
        <v>317</v>
      </c>
      <c r="N24">
        <v>3000</v>
      </c>
      <c r="O24" t="s">
        <v>321</v>
      </c>
      <c r="P24" t="s">
        <v>344</v>
      </c>
    </row>
    <row r="25" spans="1:16" x14ac:dyDescent="0.3">
      <c r="A25" s="21" t="s">
        <v>22</v>
      </c>
      <c r="B25" s="33">
        <v>88</v>
      </c>
      <c r="C25" s="22">
        <v>16</v>
      </c>
      <c r="D25" s="65" t="s">
        <v>303</v>
      </c>
      <c r="E25" s="56">
        <v>19115.338800000001</v>
      </c>
      <c r="F25" s="56">
        <v>225257.84289999999</v>
      </c>
      <c r="G25" s="45">
        <v>748.58665971806897</v>
      </c>
      <c r="H25" s="45">
        <v>764.58665971806897</v>
      </c>
      <c r="I25" s="81">
        <f t="shared" si="1"/>
        <v>765.503659718069</v>
      </c>
      <c r="J25" t="s">
        <v>310</v>
      </c>
      <c r="K25" s="99">
        <v>0</v>
      </c>
      <c r="L25" t="s">
        <v>315</v>
      </c>
      <c r="M25" t="s">
        <v>317</v>
      </c>
      <c r="N25">
        <v>3000</v>
      </c>
      <c r="O25" t="s">
        <v>321</v>
      </c>
      <c r="P25" t="s">
        <v>345</v>
      </c>
    </row>
    <row r="26" spans="1:16" ht="15" thickBot="1" x14ac:dyDescent="0.35">
      <c r="A26" s="23" t="s">
        <v>23</v>
      </c>
      <c r="B26" s="34">
        <v>88</v>
      </c>
      <c r="C26" s="24">
        <v>16</v>
      </c>
      <c r="D26" s="66" t="s">
        <v>303</v>
      </c>
      <c r="E26" s="57">
        <v>19113.116300000002</v>
      </c>
      <c r="F26" s="57">
        <v>225255.64569999999</v>
      </c>
      <c r="G26" s="46">
        <v>748.56846705399505</v>
      </c>
      <c r="H26" s="46">
        <v>764.56846705399505</v>
      </c>
      <c r="I26" s="82">
        <f t="shared" si="1"/>
        <v>765.48546705399508</v>
      </c>
      <c r="J26" t="s">
        <v>310</v>
      </c>
      <c r="K26" s="99">
        <v>0</v>
      </c>
      <c r="L26" t="s">
        <v>315</v>
      </c>
      <c r="M26" t="s">
        <v>317</v>
      </c>
      <c r="N26">
        <v>3000</v>
      </c>
      <c r="O26" t="s">
        <v>321</v>
      </c>
      <c r="P26" t="s">
        <v>346</v>
      </c>
    </row>
    <row r="27" spans="1:16" ht="15" customHeight="1" x14ac:dyDescent="0.3">
      <c r="A27" s="17" t="s">
        <v>24</v>
      </c>
      <c r="B27" s="29">
        <v>88</v>
      </c>
      <c r="C27" s="18">
        <v>16</v>
      </c>
      <c r="D27" s="67" t="s">
        <v>303</v>
      </c>
      <c r="E27" s="52">
        <v>19110.867600000001</v>
      </c>
      <c r="F27" s="52">
        <v>225253.4179</v>
      </c>
      <c r="G27" s="41">
        <v>748.55029235063796</v>
      </c>
      <c r="H27" s="41">
        <v>764.55029235063796</v>
      </c>
      <c r="I27" s="77">
        <f t="shared" si="1"/>
        <v>765.46729235063799</v>
      </c>
      <c r="J27" t="s">
        <v>310</v>
      </c>
      <c r="K27" s="99">
        <v>0</v>
      </c>
      <c r="L27" t="s">
        <v>315</v>
      </c>
      <c r="M27" t="s">
        <v>317</v>
      </c>
      <c r="N27">
        <v>3000</v>
      </c>
      <c r="O27" t="s">
        <v>321</v>
      </c>
      <c r="P27" t="s">
        <v>347</v>
      </c>
    </row>
    <row r="28" spans="1:16" x14ac:dyDescent="0.3">
      <c r="A28" s="6" t="s">
        <v>25</v>
      </c>
      <c r="B28" s="30">
        <v>88</v>
      </c>
      <c r="C28" s="7">
        <v>16</v>
      </c>
      <c r="D28" s="68" t="s">
        <v>303</v>
      </c>
      <c r="E28" s="53">
        <v>19108.649700000002</v>
      </c>
      <c r="F28" s="53">
        <v>225251.21599999999</v>
      </c>
      <c r="G28" s="42">
        <v>748.53259572707202</v>
      </c>
      <c r="H28" s="42">
        <v>764.532595727071</v>
      </c>
      <c r="I28" s="78">
        <f t="shared" si="1"/>
        <v>765.44959572707103</v>
      </c>
      <c r="J28" t="s">
        <v>310</v>
      </c>
      <c r="K28" s="99">
        <v>0</v>
      </c>
      <c r="L28" t="s">
        <v>315</v>
      </c>
      <c r="M28" t="s">
        <v>317</v>
      </c>
      <c r="N28">
        <v>3000</v>
      </c>
      <c r="O28" t="s">
        <v>321</v>
      </c>
      <c r="P28" t="s">
        <v>348</v>
      </c>
    </row>
    <row r="29" spans="1:16" x14ac:dyDescent="0.3">
      <c r="A29" s="6" t="s">
        <v>26</v>
      </c>
      <c r="B29" s="30">
        <v>88</v>
      </c>
      <c r="C29" s="7">
        <v>16</v>
      </c>
      <c r="D29" s="68" t="s">
        <v>303</v>
      </c>
      <c r="E29" s="53">
        <v>19106.434099999999</v>
      </c>
      <c r="F29" s="53">
        <v>225249.0117</v>
      </c>
      <c r="G29" s="42">
        <v>748.51514554401103</v>
      </c>
      <c r="H29" s="42">
        <v>764.51514554401103</v>
      </c>
      <c r="I29" s="78">
        <f t="shared" si="1"/>
        <v>765.43214554401106</v>
      </c>
      <c r="J29" t="s">
        <v>310</v>
      </c>
      <c r="K29" s="99">
        <v>0</v>
      </c>
      <c r="L29" t="s">
        <v>315</v>
      </c>
      <c r="M29" t="s">
        <v>317</v>
      </c>
      <c r="N29">
        <v>3000</v>
      </c>
      <c r="O29" t="s">
        <v>321</v>
      </c>
      <c r="P29" t="s">
        <v>349</v>
      </c>
    </row>
    <row r="30" spans="1:16" x14ac:dyDescent="0.3">
      <c r="A30" s="6" t="s">
        <v>27</v>
      </c>
      <c r="B30" s="30">
        <v>88</v>
      </c>
      <c r="C30" s="7">
        <v>16</v>
      </c>
      <c r="D30" s="68" t="s">
        <v>303</v>
      </c>
      <c r="E30" s="53">
        <v>19104.220799999999</v>
      </c>
      <c r="F30" s="53">
        <v>225246.8052</v>
      </c>
      <c r="G30" s="42">
        <v>748.49794180145602</v>
      </c>
      <c r="H30" s="42">
        <v>764.49794180145602</v>
      </c>
      <c r="I30" s="78">
        <f t="shared" si="1"/>
        <v>765.41494180145605</v>
      </c>
      <c r="J30" t="s">
        <v>310</v>
      </c>
      <c r="K30" s="99">
        <v>0</v>
      </c>
      <c r="L30" t="s">
        <v>315</v>
      </c>
      <c r="M30" t="s">
        <v>317</v>
      </c>
      <c r="N30">
        <v>3000</v>
      </c>
      <c r="O30" t="s">
        <v>321</v>
      </c>
      <c r="P30" t="s">
        <v>350</v>
      </c>
    </row>
    <row r="31" spans="1:16" x14ac:dyDescent="0.3">
      <c r="A31" s="6" t="s">
        <v>28</v>
      </c>
      <c r="B31" s="30">
        <v>88</v>
      </c>
      <c r="C31" s="7">
        <v>16</v>
      </c>
      <c r="D31" s="68" t="s">
        <v>303</v>
      </c>
      <c r="E31" s="53">
        <v>19102.009900000001</v>
      </c>
      <c r="F31" s="53">
        <v>225244.5963</v>
      </c>
      <c r="G31" s="42">
        <v>748.48098449940801</v>
      </c>
      <c r="H31" s="42">
        <v>764.48098449940801</v>
      </c>
      <c r="I31" s="78">
        <f t="shared" si="1"/>
        <v>765.39798449940804</v>
      </c>
      <c r="J31" t="s">
        <v>310</v>
      </c>
      <c r="K31" s="99">
        <v>0</v>
      </c>
      <c r="L31" t="s">
        <v>315</v>
      </c>
      <c r="M31" t="s">
        <v>317</v>
      </c>
      <c r="N31">
        <v>3000</v>
      </c>
      <c r="O31" t="s">
        <v>321</v>
      </c>
      <c r="P31" t="s">
        <v>351</v>
      </c>
    </row>
    <row r="32" spans="1:16" x14ac:dyDescent="0.3">
      <c r="A32" s="6" t="s">
        <v>29</v>
      </c>
      <c r="B32" s="30">
        <v>88</v>
      </c>
      <c r="C32" s="7">
        <v>16</v>
      </c>
      <c r="D32" s="68" t="s">
        <v>303</v>
      </c>
      <c r="E32" s="53">
        <v>19099.801200000002</v>
      </c>
      <c r="F32" s="53">
        <v>225242.38510000001</v>
      </c>
      <c r="G32" s="42">
        <v>748.46427363786597</v>
      </c>
      <c r="H32" s="42">
        <v>764.46427363786597</v>
      </c>
      <c r="I32" s="78">
        <f t="shared" si="1"/>
        <v>765.381273637866</v>
      </c>
      <c r="J32" t="s">
        <v>310</v>
      </c>
      <c r="K32" s="99">
        <v>0</v>
      </c>
      <c r="L32" t="s">
        <v>315</v>
      </c>
      <c r="M32" t="s">
        <v>317</v>
      </c>
      <c r="N32">
        <v>3000</v>
      </c>
      <c r="O32" t="s">
        <v>321</v>
      </c>
      <c r="P32" t="s">
        <v>352</v>
      </c>
    </row>
    <row r="33" spans="1:16" x14ac:dyDescent="0.3">
      <c r="A33" s="6" t="s">
        <v>30</v>
      </c>
      <c r="B33" s="30">
        <v>88</v>
      </c>
      <c r="C33" s="7">
        <v>16</v>
      </c>
      <c r="D33" s="68" t="s">
        <v>303</v>
      </c>
      <c r="E33" s="53">
        <v>19097.5949</v>
      </c>
      <c r="F33" s="53">
        <v>225240.1716</v>
      </c>
      <c r="G33" s="42">
        <v>748.44780921683105</v>
      </c>
      <c r="H33" s="42">
        <v>764.44780921683105</v>
      </c>
      <c r="I33" s="78">
        <f t="shared" si="1"/>
        <v>765.36480921683108</v>
      </c>
      <c r="J33" t="s">
        <v>310</v>
      </c>
      <c r="K33" s="99">
        <v>0</v>
      </c>
      <c r="L33" t="s">
        <v>315</v>
      </c>
      <c r="M33" t="s">
        <v>317</v>
      </c>
      <c r="N33">
        <v>3000</v>
      </c>
      <c r="O33" t="s">
        <v>321</v>
      </c>
      <c r="P33" t="s">
        <v>353</v>
      </c>
    </row>
    <row r="34" spans="1:16" ht="15" thickBot="1" x14ac:dyDescent="0.35">
      <c r="A34" s="8" t="s">
        <v>31</v>
      </c>
      <c r="B34" s="31">
        <v>88</v>
      </c>
      <c r="C34" s="9">
        <v>16</v>
      </c>
      <c r="D34" s="69" t="s">
        <v>303</v>
      </c>
      <c r="E34" s="54">
        <v>19095.390899999999</v>
      </c>
      <c r="F34" s="54">
        <v>225237.9558</v>
      </c>
      <c r="G34" s="43">
        <v>748.43159123630198</v>
      </c>
      <c r="H34" s="43">
        <v>764.43159123630198</v>
      </c>
      <c r="I34" s="79">
        <f t="shared" si="1"/>
        <v>765.34859123630201</v>
      </c>
      <c r="J34" t="s">
        <v>310</v>
      </c>
      <c r="K34" s="99">
        <v>0</v>
      </c>
      <c r="L34" t="s">
        <v>315</v>
      </c>
      <c r="M34" t="s">
        <v>317</v>
      </c>
      <c r="N34">
        <v>3000</v>
      </c>
      <c r="O34" t="s">
        <v>321</v>
      </c>
      <c r="P34" t="s">
        <v>354</v>
      </c>
    </row>
    <row r="35" spans="1:16" ht="15" customHeight="1" x14ac:dyDescent="0.3">
      <c r="A35" s="19" t="s">
        <v>32</v>
      </c>
      <c r="B35" s="32">
        <v>88</v>
      </c>
      <c r="C35" s="20">
        <v>16</v>
      </c>
      <c r="D35" s="64" t="s">
        <v>303</v>
      </c>
      <c r="E35" s="55">
        <v>19093.161</v>
      </c>
      <c r="F35" s="55">
        <v>225235.70920000001</v>
      </c>
      <c r="G35" s="44">
        <v>748.41541653294496</v>
      </c>
      <c r="H35" s="44">
        <v>764.41541653294496</v>
      </c>
      <c r="I35" s="80">
        <f t="shared" si="1"/>
        <v>765.33241653294499</v>
      </c>
      <c r="J35" t="s">
        <v>310</v>
      </c>
      <c r="K35" s="99">
        <v>0</v>
      </c>
      <c r="L35" t="s">
        <v>315</v>
      </c>
      <c r="M35" t="s">
        <v>317</v>
      </c>
      <c r="N35">
        <v>3000</v>
      </c>
      <c r="O35" t="s">
        <v>321</v>
      </c>
      <c r="P35" t="s">
        <v>355</v>
      </c>
    </row>
    <row r="36" spans="1:16" x14ac:dyDescent="0.3">
      <c r="A36" s="21" t="s">
        <v>33</v>
      </c>
      <c r="B36" s="33">
        <v>88</v>
      </c>
      <c r="C36" s="22">
        <v>16</v>
      </c>
      <c r="D36" s="65" t="s">
        <v>303</v>
      </c>
      <c r="E36" s="56">
        <v>19091.1378</v>
      </c>
      <c r="F36" s="56">
        <v>225233.6667</v>
      </c>
      <c r="G36" s="45">
        <v>748.40094528147904</v>
      </c>
      <c r="H36" s="45">
        <v>764.40094528147904</v>
      </c>
      <c r="I36" s="81">
        <f t="shared" si="1"/>
        <v>765.31794528147907</v>
      </c>
      <c r="J36" t="s">
        <v>310</v>
      </c>
      <c r="K36" s="99">
        <v>0</v>
      </c>
      <c r="L36" t="s">
        <v>315</v>
      </c>
      <c r="M36" t="s">
        <v>317</v>
      </c>
      <c r="N36">
        <v>3000</v>
      </c>
      <c r="O36" t="s">
        <v>321</v>
      </c>
      <c r="P36" t="s">
        <v>356</v>
      </c>
    </row>
    <row r="37" spans="1:16" x14ac:dyDescent="0.3">
      <c r="A37" s="21" t="s">
        <v>34</v>
      </c>
      <c r="B37" s="33">
        <v>88</v>
      </c>
      <c r="C37" s="22">
        <v>16</v>
      </c>
      <c r="D37" s="65" t="s">
        <v>303</v>
      </c>
      <c r="E37" s="56">
        <v>19088.588800000001</v>
      </c>
      <c r="F37" s="56">
        <v>225231.0877</v>
      </c>
      <c r="G37" s="45">
        <v>748.382989733964</v>
      </c>
      <c r="H37" s="45">
        <v>764.382989733964</v>
      </c>
      <c r="I37" s="81">
        <f t="shared" si="1"/>
        <v>765.29998973396403</v>
      </c>
      <c r="J37" t="s">
        <v>310</v>
      </c>
      <c r="K37" s="99">
        <v>0</v>
      </c>
      <c r="L37" t="s">
        <v>315</v>
      </c>
      <c r="M37" t="s">
        <v>317</v>
      </c>
      <c r="N37">
        <v>3000</v>
      </c>
      <c r="O37" t="s">
        <v>321</v>
      </c>
      <c r="P37" t="s">
        <v>357</v>
      </c>
    </row>
    <row r="38" spans="1:16" x14ac:dyDescent="0.3">
      <c r="A38" s="21" t="s">
        <v>35</v>
      </c>
      <c r="B38" s="33">
        <v>88</v>
      </c>
      <c r="C38" s="22">
        <v>16</v>
      </c>
      <c r="D38" s="65" t="s">
        <v>303</v>
      </c>
      <c r="E38" s="56">
        <v>19086.570100000001</v>
      </c>
      <c r="F38" s="56">
        <v>225229.04089999999</v>
      </c>
      <c r="G38" s="45">
        <v>748.36899003439601</v>
      </c>
      <c r="H38" s="45">
        <v>764.36899003439601</v>
      </c>
      <c r="I38" s="81">
        <f t="shared" si="1"/>
        <v>765.28599003439604</v>
      </c>
      <c r="J38" t="s">
        <v>310</v>
      </c>
      <c r="K38" s="99">
        <v>0</v>
      </c>
      <c r="L38" t="s">
        <v>315</v>
      </c>
      <c r="M38" t="s">
        <v>317</v>
      </c>
      <c r="N38">
        <v>3000</v>
      </c>
      <c r="O38" t="s">
        <v>321</v>
      </c>
      <c r="P38" t="s">
        <v>358</v>
      </c>
    </row>
    <row r="39" spans="1:16" x14ac:dyDescent="0.3">
      <c r="A39" s="21" t="s">
        <v>36</v>
      </c>
      <c r="B39" s="33">
        <v>88</v>
      </c>
      <c r="C39" s="22">
        <v>16</v>
      </c>
      <c r="D39" s="65" t="s">
        <v>303</v>
      </c>
      <c r="E39" s="56">
        <v>19084.377799999998</v>
      </c>
      <c r="F39" s="56">
        <v>225226.81349999999</v>
      </c>
      <c r="G39" s="45">
        <v>748.35400741589297</v>
      </c>
      <c r="H39" s="45">
        <v>764.35400741589297</v>
      </c>
      <c r="I39" s="81">
        <f t="shared" si="1"/>
        <v>765.271007415893</v>
      </c>
      <c r="J39" t="s">
        <v>310</v>
      </c>
      <c r="K39" s="99">
        <v>0</v>
      </c>
      <c r="L39" t="s">
        <v>315</v>
      </c>
      <c r="M39" t="s">
        <v>317</v>
      </c>
      <c r="N39">
        <v>3000</v>
      </c>
      <c r="O39" t="s">
        <v>321</v>
      </c>
      <c r="P39" t="s">
        <v>359</v>
      </c>
    </row>
    <row r="40" spans="1:16" x14ac:dyDescent="0.3">
      <c r="A40" s="21" t="s">
        <v>37</v>
      </c>
      <c r="B40" s="33">
        <v>88</v>
      </c>
      <c r="C40" s="22">
        <v>16</v>
      </c>
      <c r="D40" s="65" t="s">
        <v>303</v>
      </c>
      <c r="E40" s="56">
        <v>19082.1878</v>
      </c>
      <c r="F40" s="56">
        <v>225224.58379999999</v>
      </c>
      <c r="G40" s="45">
        <v>748.33927123789499</v>
      </c>
      <c r="H40" s="45">
        <v>764.33927123789499</v>
      </c>
      <c r="I40" s="81">
        <f t="shared" si="1"/>
        <v>765.25627123789502</v>
      </c>
      <c r="J40" t="s">
        <v>310</v>
      </c>
      <c r="K40" s="99">
        <v>0</v>
      </c>
      <c r="L40" t="s">
        <v>315</v>
      </c>
      <c r="M40" t="s">
        <v>317</v>
      </c>
      <c r="N40">
        <v>3000</v>
      </c>
      <c r="O40" t="s">
        <v>321</v>
      </c>
      <c r="P40" t="s">
        <v>360</v>
      </c>
    </row>
    <row r="41" spans="1:16" x14ac:dyDescent="0.3">
      <c r="A41" s="21" t="s">
        <v>38</v>
      </c>
      <c r="B41" s="33">
        <v>88</v>
      </c>
      <c r="C41" s="22">
        <v>16</v>
      </c>
      <c r="D41" s="65" t="s">
        <v>303</v>
      </c>
      <c r="E41" s="56">
        <v>19080.000100000001</v>
      </c>
      <c r="F41" s="56">
        <v>225222.3518</v>
      </c>
      <c r="G41" s="45">
        <v>748.32478150040401</v>
      </c>
      <c r="H41" s="45">
        <v>764.32478150040401</v>
      </c>
      <c r="I41" s="81">
        <f t="shared" si="1"/>
        <v>765.24178150040404</v>
      </c>
      <c r="J41" t="s">
        <v>310</v>
      </c>
      <c r="K41" s="99">
        <v>0</v>
      </c>
      <c r="L41" t="s">
        <v>315</v>
      </c>
      <c r="M41" t="s">
        <v>317</v>
      </c>
      <c r="N41">
        <v>3000</v>
      </c>
      <c r="O41" t="s">
        <v>321</v>
      </c>
      <c r="P41" t="s">
        <v>361</v>
      </c>
    </row>
    <row r="42" spans="1:16" ht="15" thickBot="1" x14ac:dyDescent="0.35">
      <c r="A42" s="23" t="s">
        <v>39</v>
      </c>
      <c r="B42" s="34">
        <v>88</v>
      </c>
      <c r="C42" s="24">
        <v>16</v>
      </c>
      <c r="D42" s="66" t="s">
        <v>303</v>
      </c>
      <c r="E42" s="57">
        <v>19077.8148</v>
      </c>
      <c r="F42" s="57">
        <v>225220.1176</v>
      </c>
      <c r="G42" s="46">
        <v>748.31053820342004</v>
      </c>
      <c r="H42" s="46">
        <v>764.31053820342004</v>
      </c>
      <c r="I42" s="82">
        <f t="shared" si="1"/>
        <v>765.22753820342007</v>
      </c>
      <c r="J42" t="s">
        <v>310</v>
      </c>
      <c r="K42" s="99">
        <v>0</v>
      </c>
      <c r="L42" t="s">
        <v>315</v>
      </c>
      <c r="M42" t="s">
        <v>317</v>
      </c>
      <c r="N42">
        <v>3000</v>
      </c>
      <c r="O42" t="s">
        <v>321</v>
      </c>
      <c r="P42" t="s">
        <v>362</v>
      </c>
    </row>
    <row r="43" spans="1:16" ht="15" customHeight="1" x14ac:dyDescent="0.3">
      <c r="A43" s="17" t="s">
        <v>40</v>
      </c>
      <c r="B43" s="29">
        <v>88</v>
      </c>
      <c r="C43" s="18">
        <v>16</v>
      </c>
      <c r="D43" s="67" t="s">
        <v>303</v>
      </c>
      <c r="E43" s="52">
        <v>19075.603899999998</v>
      </c>
      <c r="F43" s="52">
        <v>225217.8523</v>
      </c>
      <c r="G43" s="41">
        <v>748.29636350006399</v>
      </c>
      <c r="H43" s="41">
        <v>764.29636350006399</v>
      </c>
      <c r="I43" s="77">
        <f t="shared" si="1"/>
        <v>765.21336350006402</v>
      </c>
      <c r="J43" t="s">
        <v>310</v>
      </c>
      <c r="K43" s="99">
        <v>0</v>
      </c>
      <c r="L43" t="s">
        <v>315</v>
      </c>
      <c r="M43" t="s">
        <v>317</v>
      </c>
      <c r="N43">
        <v>3000</v>
      </c>
      <c r="O43" t="s">
        <v>321</v>
      </c>
      <c r="P43" t="s">
        <v>363</v>
      </c>
    </row>
    <row r="44" spans="1:16" x14ac:dyDescent="0.3">
      <c r="A44" s="6" t="s">
        <v>41</v>
      </c>
      <c r="B44" s="30">
        <v>88</v>
      </c>
      <c r="C44" s="7">
        <v>16</v>
      </c>
      <c r="D44" s="68" t="s">
        <v>303</v>
      </c>
      <c r="E44" s="53">
        <v>19073.423299999999</v>
      </c>
      <c r="F44" s="53">
        <v>225215.61350000001</v>
      </c>
      <c r="G44" s="42">
        <v>748.28261624358595</v>
      </c>
      <c r="H44" s="42">
        <v>764.28261624358504</v>
      </c>
      <c r="I44" s="78">
        <f t="shared" si="1"/>
        <v>765.19961624358507</v>
      </c>
      <c r="J44" t="s">
        <v>310</v>
      </c>
      <c r="K44" s="99">
        <v>0</v>
      </c>
      <c r="L44" t="s">
        <v>315</v>
      </c>
      <c r="M44" t="s">
        <v>317</v>
      </c>
      <c r="N44">
        <v>3000</v>
      </c>
      <c r="O44" t="s">
        <v>321</v>
      </c>
      <c r="P44" t="s">
        <v>364</v>
      </c>
    </row>
    <row r="45" spans="1:16" x14ac:dyDescent="0.3">
      <c r="A45" s="6" t="s">
        <v>42</v>
      </c>
      <c r="B45" s="30">
        <v>88</v>
      </c>
      <c r="C45" s="7">
        <v>16</v>
      </c>
      <c r="D45" s="68" t="s">
        <v>303</v>
      </c>
      <c r="E45" s="53">
        <v>19071.2451</v>
      </c>
      <c r="F45" s="53">
        <v>225213.37229999999</v>
      </c>
      <c r="G45" s="42">
        <v>748.269115427614</v>
      </c>
      <c r="H45" s="42">
        <v>764.269115427614</v>
      </c>
      <c r="I45" s="78">
        <f t="shared" si="1"/>
        <v>765.18611542761403</v>
      </c>
      <c r="J45" t="s">
        <v>310</v>
      </c>
      <c r="K45" s="99">
        <v>0</v>
      </c>
      <c r="L45" t="s">
        <v>315</v>
      </c>
      <c r="M45" t="s">
        <v>317</v>
      </c>
      <c r="N45">
        <v>3000</v>
      </c>
      <c r="O45" t="s">
        <v>321</v>
      </c>
      <c r="P45" t="s">
        <v>365</v>
      </c>
    </row>
    <row r="46" spans="1:16" x14ac:dyDescent="0.3">
      <c r="A46" s="6" t="s">
        <v>43</v>
      </c>
      <c r="B46" s="30">
        <v>88</v>
      </c>
      <c r="C46" s="7">
        <v>16</v>
      </c>
      <c r="D46" s="68" t="s">
        <v>303</v>
      </c>
      <c r="E46" s="53">
        <v>19069.480500000001</v>
      </c>
      <c r="F46" s="53">
        <v>225211.5533</v>
      </c>
      <c r="G46" s="42">
        <v>748.25834859359804</v>
      </c>
      <c r="H46" s="42">
        <v>764.25834859359804</v>
      </c>
      <c r="I46" s="78">
        <f t="shared" si="1"/>
        <v>765.17534859359807</v>
      </c>
      <c r="J46" t="s">
        <v>310</v>
      </c>
      <c r="K46" s="99">
        <v>0</v>
      </c>
      <c r="L46" t="s">
        <v>315</v>
      </c>
      <c r="M46" t="s">
        <v>317</v>
      </c>
      <c r="N46">
        <v>3000</v>
      </c>
      <c r="O46" t="s">
        <v>321</v>
      </c>
      <c r="P46" t="s">
        <v>366</v>
      </c>
    </row>
    <row r="47" spans="1:16" x14ac:dyDescent="0.3">
      <c r="A47" s="6" t="s">
        <v>44</v>
      </c>
      <c r="B47" s="30">
        <v>88</v>
      </c>
      <c r="C47" s="7">
        <v>16</v>
      </c>
      <c r="D47" s="68" t="s">
        <v>303</v>
      </c>
      <c r="E47" s="53">
        <v>19066.484899999999</v>
      </c>
      <c r="F47" s="53">
        <v>225208.45819999999</v>
      </c>
      <c r="G47" s="42">
        <v>748.24042099092901</v>
      </c>
      <c r="H47" s="42">
        <v>764.24042099092901</v>
      </c>
      <c r="I47" s="78">
        <f t="shared" si="1"/>
        <v>765.15742099092904</v>
      </c>
      <c r="J47" t="s">
        <v>310</v>
      </c>
      <c r="K47" s="99">
        <v>0</v>
      </c>
      <c r="L47" t="s">
        <v>315</v>
      </c>
      <c r="M47" t="s">
        <v>317</v>
      </c>
      <c r="N47">
        <v>3000</v>
      </c>
      <c r="O47" t="s">
        <v>321</v>
      </c>
      <c r="P47" t="s">
        <v>367</v>
      </c>
    </row>
    <row r="48" spans="1:16" x14ac:dyDescent="0.3">
      <c r="A48" s="6" t="s">
        <v>45</v>
      </c>
      <c r="B48" s="30">
        <v>88</v>
      </c>
      <c r="C48" s="7">
        <v>16</v>
      </c>
      <c r="D48" s="68" t="s">
        <v>303</v>
      </c>
      <c r="E48" s="53">
        <v>19064.7245</v>
      </c>
      <c r="F48" s="53">
        <v>225206.63510000001</v>
      </c>
      <c r="G48" s="42">
        <v>748.23009162273604</v>
      </c>
      <c r="H48" s="42">
        <v>764.23009162273604</v>
      </c>
      <c r="I48" s="78">
        <f t="shared" si="1"/>
        <v>765.14709162273607</v>
      </c>
      <c r="J48" t="s">
        <v>310</v>
      </c>
      <c r="K48" s="99">
        <v>0</v>
      </c>
      <c r="L48" t="s">
        <v>315</v>
      </c>
      <c r="M48" t="s">
        <v>317</v>
      </c>
      <c r="N48">
        <v>3000</v>
      </c>
      <c r="O48" t="s">
        <v>321</v>
      </c>
      <c r="P48" t="s">
        <v>368</v>
      </c>
    </row>
    <row r="49" spans="1:16" x14ac:dyDescent="0.3">
      <c r="A49" s="6" t="s">
        <v>46</v>
      </c>
      <c r="B49" s="30">
        <v>88</v>
      </c>
      <c r="C49" s="7">
        <v>16</v>
      </c>
      <c r="D49" s="68" t="s">
        <v>303</v>
      </c>
      <c r="E49" s="53">
        <v>19062.555700000001</v>
      </c>
      <c r="F49" s="53">
        <v>225204.3849</v>
      </c>
      <c r="G49" s="42">
        <v>748.21757656879004</v>
      </c>
      <c r="H49" s="42">
        <v>764.21757656879004</v>
      </c>
      <c r="I49" s="78">
        <f t="shared" si="1"/>
        <v>765.13457656879007</v>
      </c>
      <c r="J49" t="s">
        <v>310</v>
      </c>
      <c r="K49" s="99">
        <v>0</v>
      </c>
      <c r="L49" t="s">
        <v>315</v>
      </c>
      <c r="M49" t="s">
        <v>317</v>
      </c>
      <c r="N49">
        <v>3000</v>
      </c>
      <c r="O49" t="s">
        <v>321</v>
      </c>
      <c r="P49" t="s">
        <v>369</v>
      </c>
    </row>
    <row r="50" spans="1:16" ht="15" thickBot="1" x14ac:dyDescent="0.35">
      <c r="A50" s="8" t="s">
        <v>47</v>
      </c>
      <c r="B50" s="31">
        <v>88</v>
      </c>
      <c r="C50" s="9">
        <v>16</v>
      </c>
      <c r="D50" s="69" t="s">
        <v>303</v>
      </c>
      <c r="E50" s="54">
        <v>19060.389299999999</v>
      </c>
      <c r="F50" s="54">
        <v>225202.1323</v>
      </c>
      <c r="G50" s="43">
        <v>748.20530795534899</v>
      </c>
      <c r="H50" s="43">
        <v>764.20530795534899</v>
      </c>
      <c r="I50" s="79">
        <f t="shared" si="1"/>
        <v>765.12230795534902</v>
      </c>
      <c r="J50" t="s">
        <v>310</v>
      </c>
      <c r="K50" s="99">
        <v>0</v>
      </c>
      <c r="L50" t="s">
        <v>315</v>
      </c>
      <c r="M50" t="s">
        <v>317</v>
      </c>
      <c r="N50">
        <v>3000</v>
      </c>
      <c r="O50" t="s">
        <v>321</v>
      </c>
      <c r="P50" t="s">
        <v>370</v>
      </c>
    </row>
    <row r="51" spans="1:16" ht="15" customHeight="1" x14ac:dyDescent="0.3">
      <c r="A51" s="25" t="s">
        <v>48</v>
      </c>
      <c r="B51" s="35">
        <v>88</v>
      </c>
      <c r="C51" s="26">
        <v>16</v>
      </c>
      <c r="D51" s="70" t="s">
        <v>303</v>
      </c>
      <c r="E51" s="58">
        <v>19058.197499999998</v>
      </c>
      <c r="F51" s="58">
        <v>225199.8486</v>
      </c>
      <c r="G51" s="47">
        <v>748.19313325199403</v>
      </c>
      <c r="H51" s="47">
        <v>764.19313325199403</v>
      </c>
      <c r="I51" s="83">
        <f t="shared" si="1"/>
        <v>765.11013325199406</v>
      </c>
      <c r="J51" t="s">
        <v>310</v>
      </c>
      <c r="K51" s="99">
        <v>0</v>
      </c>
      <c r="L51" t="s">
        <v>315</v>
      </c>
      <c r="M51" t="s">
        <v>317</v>
      </c>
      <c r="N51">
        <v>3000</v>
      </c>
      <c r="O51" t="s">
        <v>321</v>
      </c>
      <c r="P51" t="s">
        <v>371</v>
      </c>
    </row>
    <row r="52" spans="1:16" x14ac:dyDescent="0.3">
      <c r="A52" s="21" t="s">
        <v>49</v>
      </c>
      <c r="B52" s="33">
        <v>88</v>
      </c>
      <c r="C52" s="22">
        <v>16</v>
      </c>
      <c r="D52" s="65" t="s">
        <v>303</v>
      </c>
      <c r="E52" s="56">
        <v>19056.035800000001</v>
      </c>
      <c r="F52" s="56">
        <v>225197.59150000001</v>
      </c>
      <c r="G52" s="45">
        <v>748.18136067906005</v>
      </c>
      <c r="H52" s="45">
        <v>764.18136067906005</v>
      </c>
      <c r="I52" s="81">
        <f t="shared" si="1"/>
        <v>765.09836067906008</v>
      </c>
      <c r="J52" t="s">
        <v>310</v>
      </c>
      <c r="K52" s="99">
        <v>0</v>
      </c>
      <c r="L52" t="s">
        <v>315</v>
      </c>
      <c r="M52" t="s">
        <v>317</v>
      </c>
      <c r="N52">
        <v>3000</v>
      </c>
      <c r="O52" t="s">
        <v>321</v>
      </c>
      <c r="P52" t="s">
        <v>372</v>
      </c>
    </row>
    <row r="53" spans="1:16" x14ac:dyDescent="0.3">
      <c r="A53" s="21" t="s">
        <v>50</v>
      </c>
      <c r="B53" s="33">
        <v>88</v>
      </c>
      <c r="C53" s="22">
        <v>16</v>
      </c>
      <c r="D53" s="65" t="s">
        <v>303</v>
      </c>
      <c r="E53" s="56">
        <v>19053.876400000001</v>
      </c>
      <c r="F53" s="56">
        <v>225195.3321</v>
      </c>
      <c r="G53" s="45">
        <v>748.16983454663205</v>
      </c>
      <c r="H53" s="45">
        <v>764.16983454663205</v>
      </c>
      <c r="I53" s="81">
        <f t="shared" si="1"/>
        <v>765.08683454663208</v>
      </c>
      <c r="J53" t="s">
        <v>310</v>
      </c>
      <c r="K53" s="99">
        <v>0</v>
      </c>
      <c r="L53" t="s">
        <v>315</v>
      </c>
      <c r="M53" t="s">
        <v>317</v>
      </c>
      <c r="N53">
        <v>3000</v>
      </c>
      <c r="O53" t="s">
        <v>321</v>
      </c>
      <c r="P53" t="s">
        <v>373</v>
      </c>
    </row>
    <row r="54" spans="1:16" x14ac:dyDescent="0.3">
      <c r="A54" s="21" t="s">
        <v>51</v>
      </c>
      <c r="B54" s="33">
        <v>88</v>
      </c>
      <c r="C54" s="22">
        <v>16</v>
      </c>
      <c r="D54" s="65" t="s">
        <v>303</v>
      </c>
      <c r="E54" s="56">
        <v>19052.230899999999</v>
      </c>
      <c r="F54" s="56">
        <v>225193.60699999999</v>
      </c>
      <c r="G54" s="45">
        <v>748.16120787258603</v>
      </c>
      <c r="H54" s="45">
        <v>764.16120787258603</v>
      </c>
      <c r="I54" s="81">
        <f t="shared" si="1"/>
        <v>765.07820787258606</v>
      </c>
      <c r="J54" t="s">
        <v>310</v>
      </c>
      <c r="K54" s="99">
        <v>0</v>
      </c>
      <c r="L54" t="s">
        <v>315</v>
      </c>
      <c r="M54" t="s">
        <v>317</v>
      </c>
      <c r="N54">
        <v>3000</v>
      </c>
      <c r="O54" t="s">
        <v>321</v>
      </c>
      <c r="P54" t="s">
        <v>374</v>
      </c>
    </row>
    <row r="55" spans="1:16" x14ac:dyDescent="0.3">
      <c r="A55" s="21" t="s">
        <v>52</v>
      </c>
      <c r="B55" s="33">
        <v>88</v>
      </c>
      <c r="C55" s="22">
        <v>16</v>
      </c>
      <c r="D55" s="65" t="s">
        <v>303</v>
      </c>
      <c r="E55" s="56">
        <v>19049.0543</v>
      </c>
      <c r="F55" s="56">
        <v>225190.26920000001</v>
      </c>
      <c r="G55" s="45">
        <v>748.14494089934601</v>
      </c>
      <c r="H55" s="45">
        <v>764.14494089934601</v>
      </c>
      <c r="I55" s="81">
        <f t="shared" si="1"/>
        <v>765.06194089934604</v>
      </c>
      <c r="J55" t="s">
        <v>310</v>
      </c>
      <c r="K55" s="99">
        <v>0</v>
      </c>
      <c r="L55" t="s">
        <v>315</v>
      </c>
      <c r="M55" t="s">
        <v>317</v>
      </c>
      <c r="N55">
        <v>3000</v>
      </c>
      <c r="O55" t="s">
        <v>321</v>
      </c>
      <c r="P55" t="s">
        <v>375</v>
      </c>
    </row>
    <row r="56" spans="1:16" x14ac:dyDescent="0.3">
      <c r="A56" s="21" t="s">
        <v>53</v>
      </c>
      <c r="B56" s="33">
        <v>88</v>
      </c>
      <c r="C56" s="22">
        <v>16</v>
      </c>
      <c r="D56" s="65" t="s">
        <v>303</v>
      </c>
      <c r="E56" s="56">
        <v>19047.412700000001</v>
      </c>
      <c r="F56" s="56">
        <v>225188.5404</v>
      </c>
      <c r="G56" s="45">
        <v>748.13673479238798</v>
      </c>
      <c r="H56" s="45">
        <v>764.13673479238798</v>
      </c>
      <c r="I56" s="81">
        <f t="shared" si="1"/>
        <v>765.05373479238801</v>
      </c>
      <c r="J56" t="s">
        <v>310</v>
      </c>
      <c r="K56" s="99">
        <v>0</v>
      </c>
      <c r="L56" t="s">
        <v>315</v>
      </c>
      <c r="M56" t="s">
        <v>317</v>
      </c>
      <c r="N56">
        <v>3000</v>
      </c>
      <c r="O56" t="s">
        <v>321</v>
      </c>
      <c r="P56" t="s">
        <v>376</v>
      </c>
    </row>
    <row r="57" spans="1:16" x14ac:dyDescent="0.3">
      <c r="A57" s="21" t="s">
        <v>54</v>
      </c>
      <c r="B57" s="33">
        <v>88</v>
      </c>
      <c r="C57" s="22">
        <v>16</v>
      </c>
      <c r="D57" s="65" t="s">
        <v>303</v>
      </c>
      <c r="E57" s="56">
        <v>19045.262900000002</v>
      </c>
      <c r="F57" s="56">
        <v>225186.27189999999</v>
      </c>
      <c r="G57" s="45">
        <v>748.12619442198604</v>
      </c>
      <c r="H57" s="45">
        <v>764.12619442198604</v>
      </c>
      <c r="I57" s="81">
        <f t="shared" si="1"/>
        <v>765.04319442198607</v>
      </c>
      <c r="J57" t="s">
        <v>310</v>
      </c>
      <c r="K57" s="99">
        <v>0</v>
      </c>
      <c r="L57" t="s">
        <v>315</v>
      </c>
      <c r="M57" t="s">
        <v>317</v>
      </c>
      <c r="N57">
        <v>3000</v>
      </c>
      <c r="O57" t="s">
        <v>321</v>
      </c>
      <c r="P57" t="s">
        <v>377</v>
      </c>
    </row>
    <row r="58" spans="1:16" ht="15" thickBot="1" x14ac:dyDescent="0.35">
      <c r="A58" s="27" t="s">
        <v>55</v>
      </c>
      <c r="B58" s="36">
        <v>88</v>
      </c>
      <c r="C58" s="28">
        <v>16</v>
      </c>
      <c r="D58" s="71" t="s">
        <v>303</v>
      </c>
      <c r="E58" s="59">
        <v>19043.1155</v>
      </c>
      <c r="F58" s="59">
        <v>225184.0013</v>
      </c>
      <c r="G58" s="48">
        <v>748.11590049209099</v>
      </c>
      <c r="H58" s="48">
        <v>764.11590049209099</v>
      </c>
      <c r="I58" s="84">
        <f t="shared" si="1"/>
        <v>765.03290049209102</v>
      </c>
      <c r="J58" t="s">
        <v>310</v>
      </c>
      <c r="K58" s="99">
        <v>0</v>
      </c>
      <c r="L58" t="s">
        <v>315</v>
      </c>
      <c r="M58" t="s">
        <v>317</v>
      </c>
      <c r="N58">
        <v>3000</v>
      </c>
      <c r="O58" t="s">
        <v>321</v>
      </c>
      <c r="P58" t="s">
        <v>378</v>
      </c>
    </row>
    <row r="59" spans="1:16" ht="15" customHeight="1" x14ac:dyDescent="0.3">
      <c r="A59" s="13" t="s">
        <v>56</v>
      </c>
      <c r="B59" s="37">
        <v>88</v>
      </c>
      <c r="C59" s="14">
        <v>16</v>
      </c>
      <c r="D59" s="72" t="s">
        <v>303</v>
      </c>
      <c r="E59" s="60">
        <v>19040.942899999998</v>
      </c>
      <c r="F59" s="60">
        <v>225181.6992</v>
      </c>
      <c r="G59" s="49">
        <v>748.10572578873496</v>
      </c>
      <c r="H59" s="49">
        <v>764.10572578873496</v>
      </c>
      <c r="I59" s="85">
        <f t="shared" si="1"/>
        <v>765.02272578873499</v>
      </c>
      <c r="J59" t="s">
        <v>310</v>
      </c>
      <c r="K59" s="99">
        <v>0</v>
      </c>
      <c r="L59" t="s">
        <v>315</v>
      </c>
      <c r="M59" t="s">
        <v>317</v>
      </c>
      <c r="N59">
        <v>3000</v>
      </c>
      <c r="O59" t="s">
        <v>321</v>
      </c>
      <c r="P59" t="s">
        <v>379</v>
      </c>
    </row>
    <row r="60" spans="1:16" x14ac:dyDescent="0.3">
      <c r="A60" s="6" t="s">
        <v>57</v>
      </c>
      <c r="B60" s="30">
        <v>88</v>
      </c>
      <c r="C60" s="7">
        <v>16</v>
      </c>
      <c r="D60" s="68" t="s">
        <v>303</v>
      </c>
      <c r="E60" s="53">
        <v>19038.800299999999</v>
      </c>
      <c r="F60" s="53">
        <v>225179.424</v>
      </c>
      <c r="G60" s="42">
        <v>748.09592789934595</v>
      </c>
      <c r="H60" s="42">
        <v>764.09592789934504</v>
      </c>
      <c r="I60" s="78">
        <f t="shared" si="1"/>
        <v>765.01292789934507</v>
      </c>
      <c r="J60" t="s">
        <v>310</v>
      </c>
      <c r="K60" s="99">
        <v>0</v>
      </c>
      <c r="L60" t="s">
        <v>315</v>
      </c>
      <c r="M60" t="s">
        <v>317</v>
      </c>
      <c r="N60">
        <v>3000</v>
      </c>
      <c r="O60" t="s">
        <v>321</v>
      </c>
      <c r="P60" t="s">
        <v>380</v>
      </c>
    </row>
    <row r="61" spans="1:16" x14ac:dyDescent="0.3">
      <c r="A61" s="6" t="s">
        <v>58</v>
      </c>
      <c r="B61" s="30">
        <v>88</v>
      </c>
      <c r="C61" s="7">
        <v>16</v>
      </c>
      <c r="D61" s="68" t="s">
        <v>303</v>
      </c>
      <c r="E61" s="53">
        <v>19036.66</v>
      </c>
      <c r="F61" s="53">
        <v>225177.1465</v>
      </c>
      <c r="G61" s="42">
        <v>748.08637645046304</v>
      </c>
      <c r="H61" s="42">
        <v>764.08637645046304</v>
      </c>
      <c r="I61" s="78">
        <f t="shared" si="1"/>
        <v>765.00337645046307</v>
      </c>
      <c r="J61" t="s">
        <v>310</v>
      </c>
      <c r="K61" s="99">
        <v>0</v>
      </c>
      <c r="L61" t="s">
        <v>315</v>
      </c>
      <c r="M61" t="s">
        <v>317</v>
      </c>
      <c r="N61">
        <v>3000</v>
      </c>
      <c r="O61" t="s">
        <v>321</v>
      </c>
      <c r="P61" t="s">
        <v>381</v>
      </c>
    </row>
    <row r="62" spans="1:16" x14ac:dyDescent="0.3">
      <c r="A62" s="6" t="s">
        <v>59</v>
      </c>
      <c r="B62" s="30">
        <v>88</v>
      </c>
      <c r="C62" s="7">
        <v>16</v>
      </c>
      <c r="D62" s="68" t="s">
        <v>303</v>
      </c>
      <c r="E62" s="53">
        <v>19034.522099999998</v>
      </c>
      <c r="F62" s="53">
        <v>225174.86679999999</v>
      </c>
      <c r="G62" s="42">
        <v>748.07707144208598</v>
      </c>
      <c r="H62" s="42">
        <v>764.07707144208598</v>
      </c>
      <c r="I62" s="78">
        <f t="shared" si="1"/>
        <v>764.99407144208601</v>
      </c>
      <c r="J62" t="s">
        <v>310</v>
      </c>
      <c r="K62" s="99">
        <v>0</v>
      </c>
      <c r="L62" t="s">
        <v>315</v>
      </c>
      <c r="M62" t="s">
        <v>317</v>
      </c>
      <c r="N62">
        <v>3000</v>
      </c>
      <c r="O62" t="s">
        <v>321</v>
      </c>
      <c r="P62" t="s">
        <v>382</v>
      </c>
    </row>
    <row r="63" spans="1:16" x14ac:dyDescent="0.3">
      <c r="A63" s="6" t="s">
        <v>60</v>
      </c>
      <c r="B63" s="30">
        <v>88</v>
      </c>
      <c r="C63" s="7">
        <v>16</v>
      </c>
      <c r="D63" s="68" t="s">
        <v>303</v>
      </c>
      <c r="E63" s="53">
        <v>19032.386699999999</v>
      </c>
      <c r="F63" s="53">
        <v>225172.58489999999</v>
      </c>
      <c r="G63" s="42">
        <v>748.06801287421604</v>
      </c>
      <c r="H63" s="42">
        <v>764.06801287421604</v>
      </c>
      <c r="I63" s="78">
        <f t="shared" si="1"/>
        <v>764.98501287421607</v>
      </c>
      <c r="J63" t="s">
        <v>310</v>
      </c>
      <c r="K63" s="99">
        <v>0</v>
      </c>
      <c r="L63" t="s">
        <v>315</v>
      </c>
      <c r="M63" t="s">
        <v>317</v>
      </c>
      <c r="N63">
        <v>3000</v>
      </c>
      <c r="O63" t="s">
        <v>321</v>
      </c>
      <c r="P63" t="s">
        <v>383</v>
      </c>
    </row>
    <row r="64" spans="1:16" x14ac:dyDescent="0.3">
      <c r="A64" s="6" t="s">
        <v>61</v>
      </c>
      <c r="B64" s="30">
        <v>88</v>
      </c>
      <c r="C64" s="7">
        <v>16</v>
      </c>
      <c r="D64" s="68" t="s">
        <v>303</v>
      </c>
      <c r="E64" s="53">
        <v>19030.2536</v>
      </c>
      <c r="F64" s="53">
        <v>225170.30069999999</v>
      </c>
      <c r="G64" s="42">
        <v>748.05920074685196</v>
      </c>
      <c r="H64" s="42">
        <v>764.05920074685196</v>
      </c>
      <c r="I64" s="78">
        <f t="shared" si="1"/>
        <v>764.97620074685199</v>
      </c>
      <c r="J64" t="s">
        <v>310</v>
      </c>
      <c r="K64" s="99">
        <v>0</v>
      </c>
      <c r="L64" t="s">
        <v>315</v>
      </c>
      <c r="M64" t="s">
        <v>317</v>
      </c>
      <c r="N64">
        <v>3000</v>
      </c>
      <c r="O64" t="s">
        <v>321</v>
      </c>
      <c r="P64" t="s">
        <v>384</v>
      </c>
    </row>
    <row r="65" spans="1:16" x14ac:dyDescent="0.3">
      <c r="A65" s="6" t="s">
        <v>62</v>
      </c>
      <c r="B65" s="30">
        <v>88</v>
      </c>
      <c r="C65" s="7">
        <v>16</v>
      </c>
      <c r="D65" s="68" t="s">
        <v>303</v>
      </c>
      <c r="E65" s="53">
        <v>19028.122899999998</v>
      </c>
      <c r="F65" s="53">
        <v>225168.01430000001</v>
      </c>
      <c r="G65" s="42">
        <v>748.05063505999397</v>
      </c>
      <c r="H65" s="42">
        <v>764.05063505999397</v>
      </c>
      <c r="I65" s="78">
        <f t="shared" si="1"/>
        <v>764.967635059994</v>
      </c>
      <c r="J65" t="s">
        <v>310</v>
      </c>
      <c r="K65" s="99">
        <v>0</v>
      </c>
      <c r="L65" t="s">
        <v>315</v>
      </c>
      <c r="M65" t="s">
        <v>317</v>
      </c>
      <c r="N65">
        <v>3000</v>
      </c>
      <c r="O65" t="s">
        <v>321</v>
      </c>
      <c r="P65" t="s">
        <v>385</v>
      </c>
    </row>
    <row r="66" spans="1:16" ht="15" thickBot="1" x14ac:dyDescent="0.35">
      <c r="A66" s="15" t="s">
        <v>63</v>
      </c>
      <c r="B66" s="38">
        <v>88</v>
      </c>
      <c r="C66" s="16">
        <v>16</v>
      </c>
      <c r="D66" s="73" t="s">
        <v>303</v>
      </c>
      <c r="E66" s="61">
        <v>19025.994600000002</v>
      </c>
      <c r="F66" s="61">
        <v>225165.72570000001</v>
      </c>
      <c r="G66" s="50">
        <v>748.04231581364297</v>
      </c>
      <c r="H66" s="50">
        <v>764.04231581364297</v>
      </c>
      <c r="I66" s="86">
        <f t="shared" si="1"/>
        <v>764.959315813643</v>
      </c>
      <c r="J66" t="s">
        <v>310</v>
      </c>
      <c r="K66" s="99">
        <v>0</v>
      </c>
      <c r="L66" t="s">
        <v>315</v>
      </c>
      <c r="M66" t="s">
        <v>317</v>
      </c>
      <c r="N66">
        <v>3000</v>
      </c>
      <c r="O66" t="s">
        <v>321</v>
      </c>
      <c r="P66" t="s">
        <v>386</v>
      </c>
    </row>
    <row r="67" spans="1:16" ht="15" customHeight="1" x14ac:dyDescent="0.3">
      <c r="A67" s="25" t="s">
        <v>64</v>
      </c>
      <c r="B67" s="35">
        <v>88</v>
      </c>
      <c r="C67" s="26">
        <v>16</v>
      </c>
      <c r="D67" s="70" t="s">
        <v>303</v>
      </c>
      <c r="E67" s="58">
        <v>19023.841499999999</v>
      </c>
      <c r="F67" s="58">
        <v>225163.40539999999</v>
      </c>
      <c r="G67" s="47">
        <v>748.03414111028803</v>
      </c>
      <c r="H67" s="47">
        <v>764.03414111028701</v>
      </c>
      <c r="I67" s="83">
        <f t="shared" si="1"/>
        <v>764.95114111028704</v>
      </c>
      <c r="J67" t="s">
        <v>310</v>
      </c>
      <c r="K67" s="99">
        <v>0</v>
      </c>
      <c r="L67" t="s">
        <v>315</v>
      </c>
      <c r="M67" t="s">
        <v>317</v>
      </c>
      <c r="N67">
        <v>3000</v>
      </c>
      <c r="O67" t="s">
        <v>321</v>
      </c>
      <c r="P67" t="s">
        <v>387</v>
      </c>
    </row>
    <row r="68" spans="1:16" x14ac:dyDescent="0.3">
      <c r="A68" s="21" t="s">
        <v>65</v>
      </c>
      <c r="B68" s="33">
        <v>88</v>
      </c>
      <c r="C68" s="22">
        <v>16</v>
      </c>
      <c r="D68" s="65" t="s">
        <v>303</v>
      </c>
      <c r="E68" s="56">
        <v>19021.8881</v>
      </c>
      <c r="F68" s="56">
        <v>225161.29610000001</v>
      </c>
      <c r="G68" s="45">
        <v>748.02693568160703</v>
      </c>
      <c r="H68" s="45">
        <v>764.02693568160703</v>
      </c>
      <c r="I68" s="81">
        <f t="shared" si="1"/>
        <v>764.94393568160706</v>
      </c>
      <c r="J68" t="s">
        <v>310</v>
      </c>
      <c r="K68" s="99">
        <v>0</v>
      </c>
      <c r="L68" t="s">
        <v>315</v>
      </c>
      <c r="M68" t="s">
        <v>317</v>
      </c>
      <c r="N68">
        <v>3000</v>
      </c>
      <c r="O68" t="s">
        <v>321</v>
      </c>
      <c r="P68" t="s">
        <v>388</v>
      </c>
    </row>
    <row r="69" spans="1:16" x14ac:dyDescent="0.3">
      <c r="A69" s="21" t="s">
        <v>66</v>
      </c>
      <c r="B69" s="33">
        <v>88</v>
      </c>
      <c r="C69" s="22">
        <v>16</v>
      </c>
      <c r="D69" s="65" t="s">
        <v>303</v>
      </c>
      <c r="E69" s="56">
        <v>19019.427199999998</v>
      </c>
      <c r="F69" s="56">
        <v>225158.6329</v>
      </c>
      <c r="G69" s="45">
        <v>748.01814469105398</v>
      </c>
      <c r="H69" s="45">
        <v>764.01814469105398</v>
      </c>
      <c r="I69" s="81">
        <f t="shared" si="1"/>
        <v>764.93514469105401</v>
      </c>
      <c r="J69" t="s">
        <v>310</v>
      </c>
      <c r="K69" s="99">
        <v>0</v>
      </c>
      <c r="L69" t="s">
        <v>315</v>
      </c>
      <c r="M69" t="s">
        <v>317</v>
      </c>
      <c r="N69">
        <v>3000</v>
      </c>
      <c r="O69" t="s">
        <v>321</v>
      </c>
      <c r="P69" t="s">
        <v>389</v>
      </c>
    </row>
    <row r="70" spans="1:16" x14ac:dyDescent="0.3">
      <c r="A70" s="21" t="s">
        <v>67</v>
      </c>
      <c r="B70" s="33">
        <v>88</v>
      </c>
      <c r="C70" s="22">
        <v>16</v>
      </c>
      <c r="D70" s="65" t="s">
        <v>303</v>
      </c>
      <c r="E70" s="56">
        <v>19017.4784</v>
      </c>
      <c r="F70" s="56">
        <v>225156.51939999999</v>
      </c>
      <c r="G70" s="45">
        <v>748.01141081427204</v>
      </c>
      <c r="H70" s="45">
        <v>764.01141081427204</v>
      </c>
      <c r="I70" s="81">
        <f t="shared" si="1"/>
        <v>764.92841081427207</v>
      </c>
      <c r="J70" t="s">
        <v>310</v>
      </c>
      <c r="K70" s="99">
        <v>0</v>
      </c>
      <c r="L70" t="s">
        <v>315</v>
      </c>
      <c r="M70" t="s">
        <v>317</v>
      </c>
      <c r="N70">
        <v>3000</v>
      </c>
      <c r="O70" t="s">
        <v>321</v>
      </c>
      <c r="P70" t="s">
        <v>390</v>
      </c>
    </row>
    <row r="71" spans="1:16" x14ac:dyDescent="0.3">
      <c r="A71" s="21" t="s">
        <v>68</v>
      </c>
      <c r="B71" s="33">
        <v>88</v>
      </c>
      <c r="C71" s="22">
        <v>16</v>
      </c>
      <c r="D71" s="65" t="s">
        <v>303</v>
      </c>
      <c r="E71" s="56">
        <v>19015.362099999998</v>
      </c>
      <c r="F71" s="56">
        <v>225154.21960000001</v>
      </c>
      <c r="G71" s="45">
        <v>748.00432692994605</v>
      </c>
      <c r="H71" s="45">
        <v>764.00432692994605</v>
      </c>
      <c r="I71" s="81">
        <f t="shared" si="1"/>
        <v>764.92132692994608</v>
      </c>
      <c r="J71" t="s">
        <v>310</v>
      </c>
      <c r="K71" s="99">
        <v>0</v>
      </c>
      <c r="L71" t="s">
        <v>315</v>
      </c>
      <c r="M71" t="s">
        <v>317</v>
      </c>
      <c r="N71">
        <v>3000</v>
      </c>
      <c r="O71" t="s">
        <v>321</v>
      </c>
      <c r="P71" t="s">
        <v>391</v>
      </c>
    </row>
    <row r="72" spans="1:16" x14ac:dyDescent="0.3">
      <c r="A72" s="21" t="s">
        <v>69</v>
      </c>
      <c r="B72" s="33">
        <v>88</v>
      </c>
      <c r="C72" s="22">
        <v>16</v>
      </c>
      <c r="D72" s="65" t="s">
        <v>303</v>
      </c>
      <c r="E72" s="56">
        <v>19013.248299999999</v>
      </c>
      <c r="F72" s="56">
        <v>225151.91750000001</v>
      </c>
      <c r="G72" s="45">
        <v>747.99748948612705</v>
      </c>
      <c r="H72" s="45">
        <v>763.99748948612705</v>
      </c>
      <c r="I72" s="81">
        <f t="shared" si="1"/>
        <v>764.91448948612708</v>
      </c>
      <c r="J72" t="s">
        <v>310</v>
      </c>
      <c r="K72" s="99">
        <v>0</v>
      </c>
      <c r="L72" t="s">
        <v>315</v>
      </c>
      <c r="M72" t="s">
        <v>317</v>
      </c>
      <c r="N72">
        <v>3000</v>
      </c>
      <c r="O72" t="s">
        <v>321</v>
      </c>
      <c r="P72" t="s">
        <v>392</v>
      </c>
    </row>
    <row r="73" spans="1:16" x14ac:dyDescent="0.3">
      <c r="A73" s="21" t="s">
        <v>70</v>
      </c>
      <c r="B73" s="33">
        <v>88</v>
      </c>
      <c r="C73" s="22">
        <v>16</v>
      </c>
      <c r="D73" s="65" t="s">
        <v>303</v>
      </c>
      <c r="E73" s="56">
        <v>19011.136900000001</v>
      </c>
      <c r="F73" s="56">
        <v>225149.6133</v>
      </c>
      <c r="G73" s="45">
        <v>747.99089848281403</v>
      </c>
      <c r="H73" s="45">
        <v>763.99089848281403</v>
      </c>
      <c r="I73" s="81">
        <f t="shared" si="1"/>
        <v>764.90789848281406</v>
      </c>
      <c r="J73" t="s">
        <v>310</v>
      </c>
      <c r="K73" s="99">
        <v>0</v>
      </c>
      <c r="L73" t="s">
        <v>315</v>
      </c>
      <c r="M73" t="s">
        <v>317</v>
      </c>
      <c r="N73">
        <v>3000</v>
      </c>
      <c r="O73" t="s">
        <v>321</v>
      </c>
      <c r="P73" t="s">
        <v>393</v>
      </c>
    </row>
    <row r="74" spans="1:16" ht="15" thickBot="1" x14ac:dyDescent="0.35">
      <c r="A74" s="27" t="s">
        <v>71</v>
      </c>
      <c r="B74" s="36">
        <v>88</v>
      </c>
      <c r="C74" s="28">
        <v>16</v>
      </c>
      <c r="D74" s="71" t="s">
        <v>303</v>
      </c>
      <c r="E74" s="59">
        <v>19009.027999999998</v>
      </c>
      <c r="F74" s="59">
        <v>225147.3069</v>
      </c>
      <c r="G74" s="48">
        <v>747.98455392000699</v>
      </c>
      <c r="H74" s="48">
        <v>763.98455392000699</v>
      </c>
      <c r="I74" s="84">
        <f t="shared" si="1"/>
        <v>764.90155392000702</v>
      </c>
      <c r="J74" t="s">
        <v>310</v>
      </c>
      <c r="K74" s="99">
        <v>0</v>
      </c>
      <c r="L74" t="s">
        <v>315</v>
      </c>
      <c r="M74" t="s">
        <v>317</v>
      </c>
      <c r="N74">
        <v>3000</v>
      </c>
      <c r="O74" t="s">
        <v>321</v>
      </c>
      <c r="P74" t="s">
        <v>394</v>
      </c>
    </row>
    <row r="75" spans="1:16" ht="15" customHeight="1" x14ac:dyDescent="0.3">
      <c r="A75" s="13" t="s">
        <v>72</v>
      </c>
      <c r="B75" s="37">
        <v>88</v>
      </c>
      <c r="C75" s="14">
        <v>16</v>
      </c>
      <c r="D75" s="72" t="s">
        <v>303</v>
      </c>
      <c r="E75" s="60">
        <v>19006.894400000001</v>
      </c>
      <c r="F75" s="60">
        <v>225144.96859999999</v>
      </c>
      <c r="G75" s="49">
        <v>747.978379216652</v>
      </c>
      <c r="H75" s="49">
        <v>763.978379216652</v>
      </c>
      <c r="I75" s="85">
        <f t="shared" si="1"/>
        <v>764.89537921665203</v>
      </c>
      <c r="J75" t="s">
        <v>310</v>
      </c>
      <c r="K75" s="99">
        <v>0</v>
      </c>
      <c r="L75" t="s">
        <v>315</v>
      </c>
      <c r="M75" t="s">
        <v>317</v>
      </c>
      <c r="N75">
        <v>3000</v>
      </c>
      <c r="O75" t="s">
        <v>321</v>
      </c>
      <c r="P75" t="s">
        <v>395</v>
      </c>
    </row>
    <row r="76" spans="1:16" x14ac:dyDescent="0.3">
      <c r="A76" s="6" t="s">
        <v>73</v>
      </c>
      <c r="B76" s="30">
        <v>88</v>
      </c>
      <c r="C76" s="7">
        <v>16</v>
      </c>
      <c r="D76" s="68" t="s">
        <v>303</v>
      </c>
      <c r="E76" s="53">
        <v>19004.790300000001</v>
      </c>
      <c r="F76" s="53">
        <v>225142.65770000001</v>
      </c>
      <c r="G76" s="42">
        <v>747.97253069435203</v>
      </c>
      <c r="H76" s="42">
        <v>763.97253069435203</v>
      </c>
      <c r="I76" s="78">
        <f t="shared" ref="I76:I139" si="2">H76+0.917</f>
        <v>764.88953069435206</v>
      </c>
      <c r="J76" t="s">
        <v>310</v>
      </c>
      <c r="K76" s="99">
        <v>0</v>
      </c>
      <c r="L76" t="s">
        <v>315</v>
      </c>
      <c r="M76" t="s">
        <v>317</v>
      </c>
      <c r="N76">
        <v>3000</v>
      </c>
      <c r="O76" t="s">
        <v>321</v>
      </c>
      <c r="P76" t="s">
        <v>396</v>
      </c>
    </row>
    <row r="77" spans="1:16" x14ac:dyDescent="0.3">
      <c r="A77" s="6" t="s">
        <v>74</v>
      </c>
      <c r="B77" s="30">
        <v>88</v>
      </c>
      <c r="C77" s="7">
        <v>16</v>
      </c>
      <c r="D77" s="68" t="s">
        <v>303</v>
      </c>
      <c r="E77" s="53">
        <v>19002.688600000001</v>
      </c>
      <c r="F77" s="53">
        <v>225140.34460000001</v>
      </c>
      <c r="G77" s="42">
        <v>747.96692861255804</v>
      </c>
      <c r="H77" s="42">
        <v>763.96692861255804</v>
      </c>
      <c r="I77" s="78">
        <f t="shared" si="2"/>
        <v>764.88392861255807</v>
      </c>
      <c r="J77" t="s">
        <v>310</v>
      </c>
      <c r="K77" s="99">
        <v>0</v>
      </c>
      <c r="L77" t="s">
        <v>315</v>
      </c>
      <c r="M77" t="s">
        <v>317</v>
      </c>
      <c r="N77">
        <v>3000</v>
      </c>
      <c r="O77" t="s">
        <v>321</v>
      </c>
      <c r="P77" t="s">
        <v>397</v>
      </c>
    </row>
    <row r="78" spans="1:16" x14ac:dyDescent="0.3">
      <c r="A78" s="6" t="s">
        <v>75</v>
      </c>
      <c r="B78" s="30">
        <v>88</v>
      </c>
      <c r="C78" s="7">
        <v>16</v>
      </c>
      <c r="D78" s="68" t="s">
        <v>303</v>
      </c>
      <c r="E78" s="53">
        <v>19000.986199999999</v>
      </c>
      <c r="F78" s="53">
        <v>225138.46729999999</v>
      </c>
      <c r="G78" s="42">
        <v>747.962566841833</v>
      </c>
      <c r="H78" s="42">
        <v>763.962566841833</v>
      </c>
      <c r="I78" s="78">
        <f t="shared" si="2"/>
        <v>764.87956684183303</v>
      </c>
      <c r="J78" t="s">
        <v>310</v>
      </c>
      <c r="K78" s="99">
        <v>0</v>
      </c>
      <c r="L78" t="s">
        <v>315</v>
      </c>
      <c r="M78" t="s">
        <v>317</v>
      </c>
      <c r="N78">
        <v>3000</v>
      </c>
      <c r="O78" t="s">
        <v>321</v>
      </c>
      <c r="P78" t="s">
        <v>398</v>
      </c>
    </row>
    <row r="79" spans="1:16" x14ac:dyDescent="0.3">
      <c r="A79" s="6" t="s">
        <v>76</v>
      </c>
      <c r="B79" s="30">
        <v>88</v>
      </c>
      <c r="C79" s="7">
        <v>16</v>
      </c>
      <c r="D79" s="68" t="s">
        <v>303</v>
      </c>
      <c r="E79" s="53">
        <v>18998.096300000001</v>
      </c>
      <c r="F79" s="53">
        <v>225135.2733</v>
      </c>
      <c r="G79" s="42">
        <v>747.95552531511498</v>
      </c>
      <c r="H79" s="42">
        <v>763.95552531511498</v>
      </c>
      <c r="I79" s="78">
        <f t="shared" si="2"/>
        <v>764.87252531511501</v>
      </c>
      <c r="J79" t="s">
        <v>310</v>
      </c>
      <c r="K79" s="99">
        <v>0</v>
      </c>
      <c r="L79" t="s">
        <v>315</v>
      </c>
      <c r="M79" t="s">
        <v>317</v>
      </c>
      <c r="N79">
        <v>3000</v>
      </c>
      <c r="O79" t="s">
        <v>321</v>
      </c>
      <c r="P79" t="s">
        <v>399</v>
      </c>
    </row>
    <row r="80" spans="1:16" x14ac:dyDescent="0.3">
      <c r="A80" s="6" t="s">
        <v>77</v>
      </c>
      <c r="B80" s="30">
        <v>88</v>
      </c>
      <c r="C80" s="7">
        <v>16</v>
      </c>
      <c r="D80" s="68" t="s">
        <v>303</v>
      </c>
      <c r="E80" s="53">
        <v>18996.3982</v>
      </c>
      <c r="F80" s="53">
        <v>225133.3921</v>
      </c>
      <c r="G80" s="42">
        <v>747.95160101021395</v>
      </c>
      <c r="H80" s="42">
        <v>763.95160101021395</v>
      </c>
      <c r="I80" s="78">
        <f t="shared" si="2"/>
        <v>764.86860101021398</v>
      </c>
      <c r="J80" t="s">
        <v>310</v>
      </c>
      <c r="K80" s="99">
        <v>0</v>
      </c>
      <c r="L80" t="s">
        <v>315</v>
      </c>
      <c r="M80" t="s">
        <v>317</v>
      </c>
      <c r="N80">
        <v>3000</v>
      </c>
      <c r="O80" t="s">
        <v>321</v>
      </c>
      <c r="P80" t="s">
        <v>400</v>
      </c>
    </row>
    <row r="81" spans="1:16" x14ac:dyDescent="0.3">
      <c r="A81" s="6" t="s">
        <v>78</v>
      </c>
      <c r="B81" s="30">
        <v>88</v>
      </c>
      <c r="C81" s="7">
        <v>16</v>
      </c>
      <c r="D81" s="68" t="s">
        <v>303</v>
      </c>
      <c r="E81" s="53">
        <v>18994.306199999999</v>
      </c>
      <c r="F81" s="53">
        <v>225131.07019999999</v>
      </c>
      <c r="G81" s="42">
        <v>747.94698469044499</v>
      </c>
      <c r="H81" s="42">
        <v>763.94698469044499</v>
      </c>
      <c r="I81" s="78">
        <f t="shared" si="2"/>
        <v>764.86398469044502</v>
      </c>
      <c r="J81" t="s">
        <v>310</v>
      </c>
      <c r="K81" s="99">
        <v>0</v>
      </c>
      <c r="L81" t="s">
        <v>315</v>
      </c>
      <c r="M81" t="s">
        <v>317</v>
      </c>
      <c r="N81">
        <v>3000</v>
      </c>
      <c r="O81" t="s">
        <v>321</v>
      </c>
      <c r="P81" t="s">
        <v>401</v>
      </c>
    </row>
    <row r="82" spans="1:16" ht="15" thickBot="1" x14ac:dyDescent="0.35">
      <c r="A82" s="15" t="s">
        <v>79</v>
      </c>
      <c r="B82" s="38">
        <v>88</v>
      </c>
      <c r="C82" s="16">
        <v>16</v>
      </c>
      <c r="D82" s="73" t="s">
        <v>303</v>
      </c>
      <c r="E82" s="61">
        <v>18992.216700000001</v>
      </c>
      <c r="F82" s="61">
        <v>225128.74609999999</v>
      </c>
      <c r="G82" s="50">
        <v>747.94261481118303</v>
      </c>
      <c r="H82" s="50">
        <v>763.94261481118303</v>
      </c>
      <c r="I82" s="86">
        <f t="shared" si="2"/>
        <v>764.85961481118306</v>
      </c>
      <c r="J82" t="s">
        <v>310</v>
      </c>
      <c r="K82" s="99">
        <v>0</v>
      </c>
      <c r="L82" t="s">
        <v>315</v>
      </c>
      <c r="M82" t="s">
        <v>317</v>
      </c>
      <c r="N82">
        <v>3000</v>
      </c>
      <c r="O82" t="s">
        <v>321</v>
      </c>
      <c r="P82" t="s">
        <v>402</v>
      </c>
    </row>
    <row r="83" spans="1:16" ht="15" customHeight="1" x14ac:dyDescent="0.3">
      <c r="A83" s="25" t="s">
        <v>80</v>
      </c>
      <c r="B83" s="35">
        <v>88</v>
      </c>
      <c r="C83" s="26">
        <v>16</v>
      </c>
      <c r="D83" s="70" t="s">
        <v>303</v>
      </c>
      <c r="E83" s="58">
        <v>18990.102900000002</v>
      </c>
      <c r="F83" s="58">
        <v>225126.39</v>
      </c>
      <c r="G83" s="47">
        <v>747.938440107828</v>
      </c>
      <c r="H83" s="47">
        <v>763.938440107828</v>
      </c>
      <c r="I83" s="83">
        <f t="shared" si="2"/>
        <v>764.85544010782803</v>
      </c>
      <c r="J83" t="s">
        <v>310</v>
      </c>
      <c r="K83" s="99">
        <v>0</v>
      </c>
      <c r="L83" t="s">
        <v>315</v>
      </c>
      <c r="M83" t="s">
        <v>317</v>
      </c>
      <c r="N83">
        <v>3000</v>
      </c>
      <c r="O83" t="s">
        <v>321</v>
      </c>
      <c r="P83" t="s">
        <v>403</v>
      </c>
    </row>
    <row r="84" spans="1:16" x14ac:dyDescent="0.3">
      <c r="A84" s="21" t="s">
        <v>81</v>
      </c>
      <c r="B84" s="33">
        <v>88</v>
      </c>
      <c r="C84" s="22">
        <v>16</v>
      </c>
      <c r="D84" s="65" t="s">
        <v>303</v>
      </c>
      <c r="E84" s="56">
        <v>18988.018199999999</v>
      </c>
      <c r="F84" s="56">
        <v>225124.06150000001</v>
      </c>
      <c r="G84" s="45">
        <v>747.93456626907198</v>
      </c>
      <c r="H84" s="45">
        <v>763.93456626907198</v>
      </c>
      <c r="I84" s="81">
        <f t="shared" si="2"/>
        <v>764.85156626907201</v>
      </c>
      <c r="J84" t="s">
        <v>310</v>
      </c>
      <c r="K84" s="99">
        <v>0</v>
      </c>
      <c r="L84" t="s">
        <v>315</v>
      </c>
      <c r="M84" t="s">
        <v>317</v>
      </c>
      <c r="N84">
        <v>3000</v>
      </c>
      <c r="O84" t="s">
        <v>321</v>
      </c>
      <c r="P84" t="s">
        <v>404</v>
      </c>
    </row>
    <row r="85" spans="1:16" x14ac:dyDescent="0.3">
      <c r="A85" s="21" t="s">
        <v>82</v>
      </c>
      <c r="B85" s="33">
        <v>88</v>
      </c>
      <c r="C85" s="22">
        <v>16</v>
      </c>
      <c r="D85" s="65" t="s">
        <v>303</v>
      </c>
      <c r="E85" s="56">
        <v>18985.936099999999</v>
      </c>
      <c r="F85" s="56">
        <v>225121.7309</v>
      </c>
      <c r="G85" s="45">
        <v>747.93093887082296</v>
      </c>
      <c r="H85" s="45">
        <v>763.93093887082296</v>
      </c>
      <c r="I85" s="81">
        <f t="shared" si="2"/>
        <v>764.84793887082299</v>
      </c>
      <c r="J85" t="s">
        <v>310</v>
      </c>
      <c r="K85" s="99">
        <v>0</v>
      </c>
      <c r="L85" t="s">
        <v>315</v>
      </c>
      <c r="M85" t="s">
        <v>317</v>
      </c>
      <c r="N85">
        <v>3000</v>
      </c>
      <c r="O85" t="s">
        <v>321</v>
      </c>
      <c r="P85" t="s">
        <v>405</v>
      </c>
    </row>
    <row r="86" spans="1:16" x14ac:dyDescent="0.3">
      <c r="A86" s="21" t="s">
        <v>83</v>
      </c>
      <c r="B86" s="33">
        <v>88</v>
      </c>
      <c r="C86" s="22">
        <v>16</v>
      </c>
      <c r="D86" s="65" t="s">
        <v>303</v>
      </c>
      <c r="E86" s="56">
        <v>18983.856299999999</v>
      </c>
      <c r="F86" s="56">
        <v>225119.39799999999</v>
      </c>
      <c r="G86" s="45">
        <v>747.927557913079</v>
      </c>
      <c r="H86" s="45">
        <v>763.927557913079</v>
      </c>
      <c r="I86" s="81">
        <f t="shared" si="2"/>
        <v>764.84455791307903</v>
      </c>
      <c r="J86" t="s">
        <v>310</v>
      </c>
      <c r="K86" s="99">
        <v>0</v>
      </c>
      <c r="L86" t="s">
        <v>315</v>
      </c>
      <c r="M86" t="s">
        <v>317</v>
      </c>
      <c r="N86">
        <v>3000</v>
      </c>
      <c r="O86" t="s">
        <v>321</v>
      </c>
      <c r="P86" t="s">
        <v>406</v>
      </c>
    </row>
    <row r="87" spans="1:16" x14ac:dyDescent="0.3">
      <c r="A87" s="21" t="s">
        <v>84</v>
      </c>
      <c r="B87" s="33">
        <v>88</v>
      </c>
      <c r="C87" s="22">
        <v>16</v>
      </c>
      <c r="D87" s="65" t="s">
        <v>303</v>
      </c>
      <c r="E87" s="56">
        <v>18981.7791</v>
      </c>
      <c r="F87" s="56">
        <v>225117.06299999999</v>
      </c>
      <c r="G87" s="45">
        <v>747.92442339584295</v>
      </c>
      <c r="H87" s="45">
        <v>763.92442339584295</v>
      </c>
      <c r="I87" s="81">
        <f t="shared" si="2"/>
        <v>764.84142339584298</v>
      </c>
      <c r="J87" t="s">
        <v>310</v>
      </c>
      <c r="K87" s="99">
        <v>0</v>
      </c>
      <c r="L87" t="s">
        <v>315</v>
      </c>
      <c r="M87" t="s">
        <v>317</v>
      </c>
      <c r="N87">
        <v>3000</v>
      </c>
      <c r="O87" t="s">
        <v>321</v>
      </c>
      <c r="P87" t="s">
        <v>407</v>
      </c>
    </row>
    <row r="88" spans="1:16" x14ac:dyDescent="0.3">
      <c r="A88" s="21" t="s">
        <v>85</v>
      </c>
      <c r="B88" s="33">
        <v>88</v>
      </c>
      <c r="C88" s="22">
        <v>16</v>
      </c>
      <c r="D88" s="65" t="s">
        <v>303</v>
      </c>
      <c r="E88" s="56">
        <v>18979.7042</v>
      </c>
      <c r="F88" s="56">
        <v>225114.72570000001</v>
      </c>
      <c r="G88" s="45">
        <v>747.92153531911197</v>
      </c>
      <c r="H88" s="45">
        <v>763.92153531911197</v>
      </c>
      <c r="I88" s="81">
        <f t="shared" si="2"/>
        <v>764.838535319112</v>
      </c>
      <c r="J88" t="s">
        <v>310</v>
      </c>
      <c r="K88" s="99">
        <v>0</v>
      </c>
      <c r="L88" t="s">
        <v>315</v>
      </c>
      <c r="M88" t="s">
        <v>317</v>
      </c>
      <c r="N88">
        <v>3000</v>
      </c>
      <c r="O88" t="s">
        <v>321</v>
      </c>
      <c r="P88" t="s">
        <v>408</v>
      </c>
    </row>
    <row r="89" spans="1:16" x14ac:dyDescent="0.3">
      <c r="A89" s="21" t="s">
        <v>86</v>
      </c>
      <c r="B89" s="33">
        <v>88</v>
      </c>
      <c r="C89" s="22">
        <v>16</v>
      </c>
      <c r="D89" s="65" t="s">
        <v>303</v>
      </c>
      <c r="E89" s="56">
        <v>18977.6319</v>
      </c>
      <c r="F89" s="56">
        <v>225112.38639999999</v>
      </c>
      <c r="G89" s="45">
        <v>747.91889368288798</v>
      </c>
      <c r="H89" s="45">
        <v>763.91889368288798</v>
      </c>
      <c r="I89" s="81">
        <f t="shared" si="2"/>
        <v>764.83589368288801</v>
      </c>
      <c r="J89" t="s">
        <v>310</v>
      </c>
      <c r="K89" s="99">
        <v>0</v>
      </c>
      <c r="L89" t="s">
        <v>315</v>
      </c>
      <c r="M89" t="s">
        <v>317</v>
      </c>
      <c r="N89">
        <v>3000</v>
      </c>
      <c r="O89" t="s">
        <v>321</v>
      </c>
      <c r="P89" t="s">
        <v>409</v>
      </c>
    </row>
    <row r="90" spans="1:16" ht="15" thickBot="1" x14ac:dyDescent="0.35">
      <c r="A90" s="27" t="s">
        <v>87</v>
      </c>
      <c r="B90" s="36">
        <v>88</v>
      </c>
      <c r="C90" s="28">
        <v>16</v>
      </c>
      <c r="D90" s="71" t="s">
        <v>303</v>
      </c>
      <c r="E90" s="59">
        <v>18975.562000000002</v>
      </c>
      <c r="F90" s="59">
        <v>225110.0448</v>
      </c>
      <c r="G90" s="48">
        <v>747.91649848716997</v>
      </c>
      <c r="H90" s="48">
        <v>763.91649848716997</v>
      </c>
      <c r="I90" s="84">
        <f t="shared" si="2"/>
        <v>764.83349848717</v>
      </c>
      <c r="J90" t="s">
        <v>310</v>
      </c>
      <c r="K90" s="99">
        <v>0</v>
      </c>
      <c r="L90" t="s">
        <v>315</v>
      </c>
      <c r="M90" t="s">
        <v>317</v>
      </c>
      <c r="N90">
        <v>3000</v>
      </c>
      <c r="O90" t="s">
        <v>321</v>
      </c>
      <c r="P90" t="s">
        <v>410</v>
      </c>
    </row>
    <row r="91" spans="1:16" ht="15" customHeight="1" x14ac:dyDescent="0.3">
      <c r="A91" s="13" t="s">
        <v>88</v>
      </c>
      <c r="B91" s="37">
        <v>88</v>
      </c>
      <c r="C91" s="14">
        <v>17</v>
      </c>
      <c r="D91" s="72" t="s">
        <v>303</v>
      </c>
      <c r="E91" s="60">
        <v>18973.468000000001</v>
      </c>
      <c r="F91" s="60">
        <v>225107.671</v>
      </c>
      <c r="G91" s="49">
        <v>746.91432378381501</v>
      </c>
      <c r="H91" s="49">
        <v>763.91432378381501</v>
      </c>
      <c r="I91" s="85">
        <f t="shared" si="2"/>
        <v>764.83132378381504</v>
      </c>
      <c r="J91" t="s">
        <v>310</v>
      </c>
      <c r="K91" s="99">
        <v>0</v>
      </c>
      <c r="L91" t="s">
        <v>315</v>
      </c>
      <c r="M91" t="s">
        <v>317</v>
      </c>
      <c r="N91">
        <v>3000</v>
      </c>
      <c r="O91" t="s">
        <v>321</v>
      </c>
      <c r="P91" t="s">
        <v>411</v>
      </c>
    </row>
    <row r="92" spans="1:16" x14ac:dyDescent="0.3">
      <c r="A92" s="6" t="s">
        <v>89</v>
      </c>
      <c r="B92" s="30">
        <v>88</v>
      </c>
      <c r="C92" s="7">
        <v>17</v>
      </c>
      <c r="D92" s="68" t="s">
        <v>303</v>
      </c>
      <c r="E92" s="53">
        <v>18971.402999999998</v>
      </c>
      <c r="F92" s="53">
        <v>225105.32509999999</v>
      </c>
      <c r="G92" s="42">
        <v>746.91242462860396</v>
      </c>
      <c r="H92" s="42">
        <v>763.91242462860396</v>
      </c>
      <c r="I92" s="78">
        <f t="shared" si="2"/>
        <v>764.82942462860399</v>
      </c>
      <c r="J92" t="s">
        <v>310</v>
      </c>
      <c r="K92" s="99">
        <v>0</v>
      </c>
      <c r="L92" t="s">
        <v>315</v>
      </c>
      <c r="M92" t="s">
        <v>317</v>
      </c>
      <c r="N92">
        <v>3000</v>
      </c>
      <c r="O92" t="s">
        <v>321</v>
      </c>
      <c r="P92" t="s">
        <v>412</v>
      </c>
    </row>
    <row r="93" spans="1:16" x14ac:dyDescent="0.3">
      <c r="A93" s="6" t="s">
        <v>90</v>
      </c>
      <c r="B93" s="30">
        <v>88</v>
      </c>
      <c r="C93" s="7">
        <v>17</v>
      </c>
      <c r="D93" s="68" t="s">
        <v>303</v>
      </c>
      <c r="E93" s="53">
        <v>18969.340499999998</v>
      </c>
      <c r="F93" s="53">
        <v>225102.97700000001</v>
      </c>
      <c r="G93" s="42">
        <v>746.910771913899</v>
      </c>
      <c r="H93" s="42">
        <v>763.910771913899</v>
      </c>
      <c r="I93" s="78">
        <f t="shared" si="2"/>
        <v>764.82777191389903</v>
      </c>
      <c r="J93" t="s">
        <v>310</v>
      </c>
      <c r="K93" s="99">
        <v>0</v>
      </c>
      <c r="L93" t="s">
        <v>315</v>
      </c>
      <c r="M93" t="s">
        <v>317</v>
      </c>
      <c r="N93">
        <v>3000</v>
      </c>
      <c r="O93" t="s">
        <v>321</v>
      </c>
      <c r="P93" t="s">
        <v>413</v>
      </c>
    </row>
    <row r="94" spans="1:16" x14ac:dyDescent="0.3">
      <c r="A94" s="6" t="s">
        <v>91</v>
      </c>
      <c r="B94" s="30">
        <v>88</v>
      </c>
      <c r="C94" s="7">
        <v>17</v>
      </c>
      <c r="D94" s="68" t="s">
        <v>303</v>
      </c>
      <c r="E94" s="53">
        <v>18966.937399999999</v>
      </c>
      <c r="F94" s="53">
        <v>225100.23480000001</v>
      </c>
      <c r="G94" s="42">
        <v>746.90915522016098</v>
      </c>
      <c r="H94" s="42">
        <v>763.90915522016098</v>
      </c>
      <c r="I94" s="78">
        <f t="shared" si="2"/>
        <v>764.82615522016101</v>
      </c>
      <c r="J94" t="s">
        <v>310</v>
      </c>
      <c r="K94" s="99">
        <v>0</v>
      </c>
      <c r="L94" t="s">
        <v>315</v>
      </c>
      <c r="M94" t="s">
        <v>317</v>
      </c>
      <c r="N94">
        <v>3000</v>
      </c>
      <c r="O94" t="s">
        <v>321</v>
      </c>
      <c r="P94" t="s">
        <v>414</v>
      </c>
    </row>
    <row r="95" spans="1:16" x14ac:dyDescent="0.3">
      <c r="A95" s="6" t="s">
        <v>92</v>
      </c>
      <c r="B95" s="30">
        <v>88</v>
      </c>
      <c r="C95" s="7">
        <v>17</v>
      </c>
      <c r="D95" s="68" t="s">
        <v>303</v>
      </c>
      <c r="E95" s="53">
        <v>18965.222900000001</v>
      </c>
      <c r="F95" s="53">
        <v>225098.27429999999</v>
      </c>
      <c r="G95" s="42">
        <v>746.90820580600803</v>
      </c>
      <c r="H95" s="42">
        <v>763.90820580600803</v>
      </c>
      <c r="I95" s="78">
        <f t="shared" si="2"/>
        <v>764.82520580600806</v>
      </c>
      <c r="J95" t="s">
        <v>310</v>
      </c>
      <c r="K95" s="99">
        <v>0</v>
      </c>
      <c r="L95" t="s">
        <v>315</v>
      </c>
      <c r="M95" t="s">
        <v>317</v>
      </c>
      <c r="N95">
        <v>3000</v>
      </c>
      <c r="O95" t="s">
        <v>321</v>
      </c>
      <c r="P95" t="s">
        <v>415</v>
      </c>
    </row>
    <row r="96" spans="1:16" x14ac:dyDescent="0.3">
      <c r="A96" s="6" t="s">
        <v>93</v>
      </c>
      <c r="B96" s="30">
        <v>88</v>
      </c>
      <c r="C96" s="7">
        <v>17</v>
      </c>
      <c r="D96" s="68" t="s">
        <v>303</v>
      </c>
      <c r="E96" s="53">
        <v>18963.167799999999</v>
      </c>
      <c r="F96" s="53">
        <v>225095.9197</v>
      </c>
      <c r="G96" s="42">
        <v>746.90729241282202</v>
      </c>
      <c r="H96" s="42">
        <v>763.90729241282202</v>
      </c>
      <c r="I96" s="78">
        <f t="shared" si="2"/>
        <v>764.82429241282205</v>
      </c>
      <c r="J96" t="s">
        <v>310</v>
      </c>
      <c r="K96" s="99">
        <v>0</v>
      </c>
      <c r="L96" t="s">
        <v>315</v>
      </c>
      <c r="M96" t="s">
        <v>317</v>
      </c>
      <c r="N96">
        <v>3000</v>
      </c>
      <c r="O96" t="s">
        <v>321</v>
      </c>
      <c r="P96" t="s">
        <v>416</v>
      </c>
    </row>
    <row r="97" spans="1:16" x14ac:dyDescent="0.3">
      <c r="A97" s="6" t="s">
        <v>94</v>
      </c>
      <c r="B97" s="30">
        <v>88</v>
      </c>
      <c r="C97" s="7">
        <v>17</v>
      </c>
      <c r="D97" s="68" t="s">
        <v>303</v>
      </c>
      <c r="E97" s="53">
        <v>18961.115099999999</v>
      </c>
      <c r="F97" s="53">
        <v>225093.56299999999</v>
      </c>
      <c r="G97" s="42">
        <v>746.90662546014198</v>
      </c>
      <c r="H97" s="42">
        <v>763.90662546014198</v>
      </c>
      <c r="I97" s="78">
        <f t="shared" si="2"/>
        <v>764.82362546014201</v>
      </c>
      <c r="J97" t="s">
        <v>310</v>
      </c>
      <c r="K97" s="99">
        <v>0</v>
      </c>
      <c r="L97" t="s">
        <v>315</v>
      </c>
      <c r="M97" t="s">
        <v>317</v>
      </c>
      <c r="N97">
        <v>3000</v>
      </c>
      <c r="O97" t="s">
        <v>321</v>
      </c>
      <c r="P97" t="s">
        <v>417</v>
      </c>
    </row>
    <row r="98" spans="1:16" ht="15" thickBot="1" x14ac:dyDescent="0.35">
      <c r="A98" s="15" t="s">
        <v>95</v>
      </c>
      <c r="B98" s="38">
        <v>88</v>
      </c>
      <c r="C98" s="16">
        <v>17</v>
      </c>
      <c r="D98" s="73" t="s">
        <v>303</v>
      </c>
      <c r="E98" s="61">
        <v>18959.064999999999</v>
      </c>
      <c r="F98" s="61">
        <v>225091.20420000001</v>
      </c>
      <c r="G98" s="50">
        <v>746.90620494796894</v>
      </c>
      <c r="H98" s="50">
        <v>763.90620494796894</v>
      </c>
      <c r="I98" s="86">
        <f t="shared" si="2"/>
        <v>764.82320494796897</v>
      </c>
      <c r="J98" t="s">
        <v>310</v>
      </c>
      <c r="K98" s="99">
        <v>0</v>
      </c>
      <c r="L98" t="s">
        <v>315</v>
      </c>
      <c r="M98" t="s">
        <v>317</v>
      </c>
      <c r="N98">
        <v>3000</v>
      </c>
      <c r="O98" t="s">
        <v>321</v>
      </c>
      <c r="P98" t="s">
        <v>418</v>
      </c>
    </row>
    <row r="99" spans="1:16" ht="15" customHeight="1" x14ac:dyDescent="0.3">
      <c r="A99" s="25" t="s">
        <v>96</v>
      </c>
      <c r="B99" s="35">
        <v>88</v>
      </c>
      <c r="C99" s="26">
        <v>16</v>
      </c>
      <c r="D99" s="70" t="s">
        <v>303</v>
      </c>
      <c r="E99" s="58">
        <v>18956.991000000002</v>
      </c>
      <c r="F99" s="58">
        <v>225088.81280000001</v>
      </c>
      <c r="G99" s="47">
        <v>747.90603024461404</v>
      </c>
      <c r="H99" s="47">
        <v>763.90603024461404</v>
      </c>
      <c r="I99" s="83">
        <f t="shared" si="2"/>
        <v>764.82303024461407</v>
      </c>
      <c r="J99" t="s">
        <v>310</v>
      </c>
      <c r="K99" s="99">
        <v>0</v>
      </c>
      <c r="L99" t="s">
        <v>315</v>
      </c>
      <c r="M99" t="s">
        <v>317</v>
      </c>
      <c r="N99">
        <v>3000</v>
      </c>
      <c r="O99" t="s">
        <v>321</v>
      </c>
      <c r="P99" t="s">
        <v>419</v>
      </c>
    </row>
    <row r="100" spans="1:16" x14ac:dyDescent="0.3">
      <c r="A100" s="21" t="s">
        <v>97</v>
      </c>
      <c r="B100" s="33">
        <v>88</v>
      </c>
      <c r="C100" s="22">
        <v>16</v>
      </c>
      <c r="D100" s="65" t="s">
        <v>303</v>
      </c>
      <c r="E100" s="56">
        <v>18955.1096</v>
      </c>
      <c r="F100" s="56">
        <v>225086.6391</v>
      </c>
      <c r="G100" s="45">
        <v>747.90609063871898</v>
      </c>
      <c r="H100" s="45">
        <v>763.90609063871898</v>
      </c>
      <c r="I100" s="81">
        <f t="shared" si="2"/>
        <v>764.82309063871901</v>
      </c>
      <c r="J100" t="s">
        <v>310</v>
      </c>
      <c r="K100" s="99">
        <v>0</v>
      </c>
      <c r="L100" t="s">
        <v>315</v>
      </c>
      <c r="M100" t="s">
        <v>317</v>
      </c>
      <c r="N100">
        <v>3000</v>
      </c>
      <c r="O100" t="s">
        <v>321</v>
      </c>
      <c r="P100" t="s">
        <v>420</v>
      </c>
    </row>
    <row r="101" spans="1:16" x14ac:dyDescent="0.3">
      <c r="A101" s="21" t="s">
        <v>98</v>
      </c>
      <c r="B101" s="33">
        <v>88</v>
      </c>
      <c r="C101" s="22">
        <v>16</v>
      </c>
      <c r="D101" s="65" t="s">
        <v>303</v>
      </c>
      <c r="E101" s="56">
        <v>18952.739600000001</v>
      </c>
      <c r="F101" s="56">
        <v>225083.8947</v>
      </c>
      <c r="G101" s="45">
        <v>747.90646420512905</v>
      </c>
      <c r="H101" s="45">
        <v>763.90646420512905</v>
      </c>
      <c r="I101" s="81">
        <f t="shared" si="2"/>
        <v>764.82346420512908</v>
      </c>
      <c r="J101" t="s">
        <v>310</v>
      </c>
      <c r="K101" s="99">
        <v>0</v>
      </c>
      <c r="L101" t="s">
        <v>315</v>
      </c>
      <c r="M101" t="s">
        <v>317</v>
      </c>
      <c r="N101">
        <v>3000</v>
      </c>
      <c r="O101" t="s">
        <v>321</v>
      </c>
      <c r="P101" t="s">
        <v>421</v>
      </c>
    </row>
    <row r="102" spans="1:16" x14ac:dyDescent="0.3">
      <c r="A102" s="21" t="s">
        <v>99</v>
      </c>
      <c r="B102" s="33">
        <v>88</v>
      </c>
      <c r="C102" s="22">
        <v>16</v>
      </c>
      <c r="D102" s="65" t="s">
        <v>303</v>
      </c>
      <c r="E102" s="56">
        <v>18950.8629</v>
      </c>
      <c r="F102" s="56">
        <v>225081.71679999999</v>
      </c>
      <c r="G102" s="45">
        <v>747.90699615113203</v>
      </c>
      <c r="H102" s="45">
        <v>763.90699615113203</v>
      </c>
      <c r="I102" s="81">
        <f t="shared" si="2"/>
        <v>764.82399615113206</v>
      </c>
      <c r="J102" t="s">
        <v>310</v>
      </c>
      <c r="K102" s="99">
        <v>0</v>
      </c>
      <c r="L102" t="s">
        <v>315</v>
      </c>
      <c r="M102" t="s">
        <v>317</v>
      </c>
      <c r="N102">
        <v>3000</v>
      </c>
      <c r="O102" t="s">
        <v>321</v>
      </c>
      <c r="P102" t="s">
        <v>422</v>
      </c>
    </row>
    <row r="103" spans="1:16" x14ac:dyDescent="0.3">
      <c r="A103" s="21" t="s">
        <v>100</v>
      </c>
      <c r="B103" s="33">
        <v>88</v>
      </c>
      <c r="C103" s="22">
        <v>16</v>
      </c>
      <c r="D103" s="65" t="s">
        <v>303</v>
      </c>
      <c r="E103" s="56">
        <v>18948.825199999999</v>
      </c>
      <c r="F103" s="56">
        <v>225079.34719999999</v>
      </c>
      <c r="G103" s="45">
        <v>747.90781100098502</v>
      </c>
      <c r="H103" s="45">
        <v>763.90781100098502</v>
      </c>
      <c r="I103" s="81">
        <f t="shared" si="2"/>
        <v>764.82481100098505</v>
      </c>
      <c r="J103" t="s">
        <v>310</v>
      </c>
      <c r="K103" s="99">
        <v>0</v>
      </c>
      <c r="L103" t="s">
        <v>315</v>
      </c>
      <c r="M103" t="s">
        <v>317</v>
      </c>
      <c r="N103">
        <v>3000</v>
      </c>
      <c r="O103" t="s">
        <v>321</v>
      </c>
      <c r="P103" t="s">
        <v>423</v>
      </c>
    </row>
    <row r="104" spans="1:16" x14ac:dyDescent="0.3">
      <c r="A104" s="21" t="s">
        <v>101</v>
      </c>
      <c r="B104" s="33">
        <v>88</v>
      </c>
      <c r="C104" s="22">
        <v>16</v>
      </c>
      <c r="D104" s="65" t="s">
        <v>303</v>
      </c>
      <c r="E104" s="56">
        <v>18946.7899</v>
      </c>
      <c r="F104" s="56">
        <v>225076.9755</v>
      </c>
      <c r="G104" s="45">
        <v>747.90887229134296</v>
      </c>
      <c r="H104" s="45">
        <v>763.90887229134296</v>
      </c>
      <c r="I104" s="81">
        <f t="shared" si="2"/>
        <v>764.82587229134299</v>
      </c>
      <c r="J104" t="s">
        <v>310</v>
      </c>
      <c r="K104" s="99">
        <v>0</v>
      </c>
      <c r="L104" t="s">
        <v>315</v>
      </c>
      <c r="M104" t="s">
        <v>317</v>
      </c>
      <c r="N104">
        <v>3000</v>
      </c>
      <c r="O104" t="s">
        <v>321</v>
      </c>
      <c r="P104" t="s">
        <v>424</v>
      </c>
    </row>
    <row r="105" spans="1:16" x14ac:dyDescent="0.3">
      <c r="A105" s="21" t="s">
        <v>102</v>
      </c>
      <c r="B105" s="33">
        <v>88</v>
      </c>
      <c r="C105" s="22">
        <v>16</v>
      </c>
      <c r="D105" s="65" t="s">
        <v>303</v>
      </c>
      <c r="E105" s="56">
        <v>18944.7572</v>
      </c>
      <c r="F105" s="56">
        <v>225074.60159999999</v>
      </c>
      <c r="G105" s="45">
        <v>747.91018002220801</v>
      </c>
      <c r="H105" s="45">
        <v>763.91018002220801</v>
      </c>
      <c r="I105" s="81">
        <f t="shared" si="2"/>
        <v>764.82718002220804</v>
      </c>
      <c r="J105" t="s">
        <v>310</v>
      </c>
      <c r="K105" s="99">
        <v>0</v>
      </c>
      <c r="L105" t="s">
        <v>315</v>
      </c>
      <c r="M105" t="s">
        <v>317</v>
      </c>
      <c r="N105">
        <v>3000</v>
      </c>
      <c r="O105" t="s">
        <v>321</v>
      </c>
      <c r="P105" t="s">
        <v>425</v>
      </c>
    </row>
    <row r="106" spans="1:16" ht="15" thickBot="1" x14ac:dyDescent="0.35">
      <c r="A106" s="27" t="s">
        <v>103</v>
      </c>
      <c r="B106" s="36">
        <v>88</v>
      </c>
      <c r="C106" s="28">
        <v>16</v>
      </c>
      <c r="D106" s="71" t="s">
        <v>303</v>
      </c>
      <c r="E106" s="59">
        <v>18942.726900000001</v>
      </c>
      <c r="F106" s="59">
        <v>225072.22560000001</v>
      </c>
      <c r="G106" s="48">
        <v>747.91173419357904</v>
      </c>
      <c r="H106" s="48">
        <v>763.91173419357904</v>
      </c>
      <c r="I106" s="84">
        <f t="shared" si="2"/>
        <v>764.82873419357907</v>
      </c>
      <c r="J106" t="s">
        <v>310</v>
      </c>
      <c r="K106" s="99">
        <v>0</v>
      </c>
      <c r="L106" t="s">
        <v>315</v>
      </c>
      <c r="M106" t="s">
        <v>317</v>
      </c>
      <c r="N106">
        <v>3000</v>
      </c>
      <c r="O106" t="s">
        <v>321</v>
      </c>
      <c r="P106" t="s">
        <v>426</v>
      </c>
    </row>
    <row r="107" spans="1:16" ht="15" customHeight="1" x14ac:dyDescent="0.3">
      <c r="A107" s="13" t="s">
        <v>104</v>
      </c>
      <c r="B107" s="37">
        <v>88</v>
      </c>
      <c r="C107" s="14">
        <v>16</v>
      </c>
      <c r="D107" s="72" t="s">
        <v>303</v>
      </c>
      <c r="E107" s="60">
        <v>18940.6731</v>
      </c>
      <c r="F107" s="60">
        <v>225069.81690000001</v>
      </c>
      <c r="G107" s="49">
        <v>747.91355949022397</v>
      </c>
      <c r="H107" s="49">
        <v>763.91355949022397</v>
      </c>
      <c r="I107" s="85">
        <f t="shared" si="2"/>
        <v>764.830559490224</v>
      </c>
      <c r="J107" t="s">
        <v>310</v>
      </c>
      <c r="K107" s="99">
        <v>0</v>
      </c>
      <c r="L107" t="s">
        <v>315</v>
      </c>
      <c r="M107" t="s">
        <v>317</v>
      </c>
      <c r="N107">
        <v>3000</v>
      </c>
      <c r="O107" t="s">
        <v>321</v>
      </c>
      <c r="P107" t="s">
        <v>427</v>
      </c>
    </row>
    <row r="108" spans="1:16" ht="15" customHeight="1" x14ac:dyDescent="0.3">
      <c r="A108" s="6" t="s">
        <v>105</v>
      </c>
      <c r="B108" s="30">
        <v>88</v>
      </c>
      <c r="C108" s="7">
        <v>16</v>
      </c>
      <c r="D108" s="68" t="s">
        <v>303</v>
      </c>
      <c r="E108" s="53">
        <v>18938.6479</v>
      </c>
      <c r="F108" s="53">
        <v>225067.43659999999</v>
      </c>
      <c r="G108" s="42">
        <v>747.91560970210196</v>
      </c>
      <c r="H108" s="42">
        <v>763.91560970210196</v>
      </c>
      <c r="I108" s="78">
        <f t="shared" si="2"/>
        <v>764.83260970210199</v>
      </c>
      <c r="J108" t="s">
        <v>310</v>
      </c>
      <c r="K108" s="99">
        <v>0</v>
      </c>
      <c r="L108" t="s">
        <v>315</v>
      </c>
      <c r="M108" t="s">
        <v>317</v>
      </c>
      <c r="N108">
        <v>3000</v>
      </c>
      <c r="O108" t="s">
        <v>321</v>
      </c>
      <c r="P108" t="s">
        <v>428</v>
      </c>
    </row>
    <row r="109" spans="1:16" ht="15" customHeight="1" x14ac:dyDescent="0.3">
      <c r="A109" s="6" t="s">
        <v>106</v>
      </c>
      <c r="B109" s="30">
        <v>88</v>
      </c>
      <c r="C109" s="7">
        <v>16</v>
      </c>
      <c r="D109" s="68" t="s">
        <v>303</v>
      </c>
      <c r="E109" s="53">
        <v>18936.625100000001</v>
      </c>
      <c r="F109" s="53">
        <v>225065.05420000001</v>
      </c>
      <c r="G109" s="42">
        <v>747.91790635448604</v>
      </c>
      <c r="H109" s="42">
        <v>763.91790635448604</v>
      </c>
      <c r="I109" s="78">
        <f t="shared" si="2"/>
        <v>764.83490635448607</v>
      </c>
      <c r="J109" t="s">
        <v>310</v>
      </c>
      <c r="K109" s="99">
        <v>0</v>
      </c>
      <c r="L109" t="s">
        <v>315</v>
      </c>
      <c r="M109" t="s">
        <v>317</v>
      </c>
      <c r="N109">
        <v>3000</v>
      </c>
      <c r="O109" t="s">
        <v>321</v>
      </c>
      <c r="P109" t="s">
        <v>429</v>
      </c>
    </row>
    <row r="110" spans="1:16" ht="15" customHeight="1" x14ac:dyDescent="0.3">
      <c r="A110" s="6" t="s">
        <v>107</v>
      </c>
      <c r="B110" s="30">
        <v>88</v>
      </c>
      <c r="C110" s="7">
        <v>16</v>
      </c>
      <c r="D110" s="68" t="s">
        <v>303</v>
      </c>
      <c r="E110" s="53">
        <v>18934.604899999998</v>
      </c>
      <c r="F110" s="53">
        <v>225062.66959999999</v>
      </c>
      <c r="G110" s="42">
        <v>747.92044944737597</v>
      </c>
      <c r="H110" s="42">
        <v>763.92044944737597</v>
      </c>
      <c r="I110" s="78">
        <f t="shared" si="2"/>
        <v>764.837449447376</v>
      </c>
      <c r="J110" t="s">
        <v>310</v>
      </c>
      <c r="K110" s="99">
        <v>0</v>
      </c>
      <c r="L110" t="s">
        <v>315</v>
      </c>
      <c r="M110" t="s">
        <v>317</v>
      </c>
      <c r="N110">
        <v>3000</v>
      </c>
      <c r="O110" t="s">
        <v>321</v>
      </c>
      <c r="P110" t="s">
        <v>430</v>
      </c>
    </row>
    <row r="111" spans="1:16" ht="15" customHeight="1" x14ac:dyDescent="0.3">
      <c r="A111" s="6" t="s">
        <v>108</v>
      </c>
      <c r="B111" s="30">
        <v>88</v>
      </c>
      <c r="C111" s="7">
        <v>16</v>
      </c>
      <c r="D111" s="68" t="s">
        <v>303</v>
      </c>
      <c r="E111" s="53">
        <v>18932.587100000001</v>
      </c>
      <c r="F111" s="53">
        <v>225060.283</v>
      </c>
      <c r="G111" s="42">
        <v>747.92323898077302</v>
      </c>
      <c r="H111" s="42">
        <v>763.92323898077302</v>
      </c>
      <c r="I111" s="78">
        <f t="shared" si="2"/>
        <v>764.84023898077305</v>
      </c>
      <c r="J111" t="s">
        <v>310</v>
      </c>
      <c r="K111" s="99">
        <v>0</v>
      </c>
      <c r="L111" t="s">
        <v>315</v>
      </c>
      <c r="M111" t="s">
        <v>317</v>
      </c>
      <c r="N111">
        <v>3000</v>
      </c>
      <c r="O111" t="s">
        <v>321</v>
      </c>
      <c r="P111" t="s">
        <v>431</v>
      </c>
    </row>
    <row r="112" spans="1:16" ht="15" customHeight="1" x14ac:dyDescent="0.3">
      <c r="A112" s="6" t="s">
        <v>109</v>
      </c>
      <c r="B112" s="30">
        <v>88</v>
      </c>
      <c r="C112" s="7">
        <v>16</v>
      </c>
      <c r="D112" s="68" t="s">
        <v>303</v>
      </c>
      <c r="E112" s="53">
        <v>18930.571899999999</v>
      </c>
      <c r="F112" s="53">
        <v>225057.89420000001</v>
      </c>
      <c r="G112" s="42">
        <v>747.92627495467605</v>
      </c>
      <c r="H112" s="42">
        <v>763.92627495467605</v>
      </c>
      <c r="I112" s="78">
        <f t="shared" si="2"/>
        <v>764.84327495467608</v>
      </c>
      <c r="J112" t="s">
        <v>310</v>
      </c>
      <c r="K112" s="99">
        <v>0</v>
      </c>
      <c r="L112" t="s">
        <v>315</v>
      </c>
      <c r="M112" t="s">
        <v>317</v>
      </c>
      <c r="N112">
        <v>3000</v>
      </c>
      <c r="O112" t="s">
        <v>321</v>
      </c>
      <c r="P112" t="s">
        <v>432</v>
      </c>
    </row>
    <row r="113" spans="1:16" ht="15" customHeight="1" x14ac:dyDescent="0.3">
      <c r="A113" s="6" t="s">
        <v>110</v>
      </c>
      <c r="B113" s="30">
        <v>88</v>
      </c>
      <c r="C113" s="7">
        <v>16</v>
      </c>
      <c r="D113" s="68" t="s">
        <v>303</v>
      </c>
      <c r="E113" s="53">
        <v>18928.559099999999</v>
      </c>
      <c r="F113" s="53">
        <v>225055.50330000001</v>
      </c>
      <c r="G113" s="42">
        <v>747.92955736908505</v>
      </c>
      <c r="H113" s="42">
        <v>763.92955736908505</v>
      </c>
      <c r="I113" s="78">
        <f t="shared" si="2"/>
        <v>764.84655736908508</v>
      </c>
      <c r="J113" t="s">
        <v>310</v>
      </c>
      <c r="K113" s="99">
        <v>0</v>
      </c>
      <c r="L113" t="s">
        <v>315</v>
      </c>
      <c r="M113" t="s">
        <v>317</v>
      </c>
      <c r="N113">
        <v>3000</v>
      </c>
      <c r="O113" t="s">
        <v>321</v>
      </c>
      <c r="P113" t="s">
        <v>433</v>
      </c>
    </row>
    <row r="114" spans="1:16" ht="15" customHeight="1" thickBot="1" x14ac:dyDescent="0.35">
      <c r="A114" s="15" t="s">
        <v>111</v>
      </c>
      <c r="B114" s="38">
        <v>88</v>
      </c>
      <c r="C114" s="16">
        <v>16</v>
      </c>
      <c r="D114" s="73" t="s">
        <v>303</v>
      </c>
      <c r="E114" s="61">
        <v>18926.548900000002</v>
      </c>
      <c r="F114" s="61">
        <v>225053.1103</v>
      </c>
      <c r="G114" s="50">
        <v>747.93308622400104</v>
      </c>
      <c r="H114" s="50">
        <v>763.93308622400104</v>
      </c>
      <c r="I114" s="86">
        <f t="shared" si="2"/>
        <v>764.85008622400107</v>
      </c>
      <c r="J114" t="s">
        <v>310</v>
      </c>
      <c r="K114" s="99">
        <v>0</v>
      </c>
      <c r="L114" t="s">
        <v>315</v>
      </c>
      <c r="M114" t="s">
        <v>317</v>
      </c>
      <c r="N114">
        <v>3000</v>
      </c>
      <c r="O114" t="s">
        <v>321</v>
      </c>
      <c r="P114" t="s">
        <v>434</v>
      </c>
    </row>
    <row r="115" spans="1:16" ht="15" customHeight="1" x14ac:dyDescent="0.3">
      <c r="A115" s="25" t="s">
        <v>112</v>
      </c>
      <c r="B115" s="35">
        <v>88</v>
      </c>
      <c r="C115" s="26">
        <v>16</v>
      </c>
      <c r="D115" s="70" t="s">
        <v>303</v>
      </c>
      <c r="E115" s="58">
        <v>18924.5154</v>
      </c>
      <c r="F115" s="58">
        <v>225050.6845</v>
      </c>
      <c r="G115" s="47">
        <v>747.93691152064605</v>
      </c>
      <c r="H115" s="47">
        <v>763.93691152064605</v>
      </c>
      <c r="I115" s="83">
        <f t="shared" si="2"/>
        <v>764.85391152064608</v>
      </c>
      <c r="J115" t="s">
        <v>310</v>
      </c>
      <c r="K115" s="99">
        <v>0</v>
      </c>
      <c r="L115" t="s">
        <v>315</v>
      </c>
      <c r="M115" t="s">
        <v>317</v>
      </c>
      <c r="N115">
        <v>3000</v>
      </c>
      <c r="O115" t="s">
        <v>321</v>
      </c>
      <c r="P115" t="s">
        <v>435</v>
      </c>
    </row>
    <row r="116" spans="1:16" x14ac:dyDescent="0.3">
      <c r="A116" s="21" t="s">
        <v>113</v>
      </c>
      <c r="B116" s="33">
        <v>88</v>
      </c>
      <c r="C116" s="22">
        <v>16</v>
      </c>
      <c r="D116" s="65" t="s">
        <v>303</v>
      </c>
      <c r="E116" s="56">
        <v>18922.510300000002</v>
      </c>
      <c r="F116" s="56">
        <v>225048.2873</v>
      </c>
      <c r="G116" s="45">
        <v>747.94093641606901</v>
      </c>
      <c r="H116" s="45">
        <v>763.94093641606901</v>
      </c>
      <c r="I116" s="81">
        <f t="shared" si="2"/>
        <v>764.85793641606904</v>
      </c>
      <c r="J116" t="s">
        <v>310</v>
      </c>
      <c r="K116" s="99">
        <v>0</v>
      </c>
      <c r="L116" t="s">
        <v>315</v>
      </c>
      <c r="M116" t="s">
        <v>317</v>
      </c>
      <c r="N116">
        <v>3000</v>
      </c>
      <c r="O116" t="s">
        <v>321</v>
      </c>
      <c r="P116" t="s">
        <v>436</v>
      </c>
    </row>
    <row r="117" spans="1:16" x14ac:dyDescent="0.3">
      <c r="A117" s="21" t="s">
        <v>114</v>
      </c>
      <c r="B117" s="33">
        <v>88</v>
      </c>
      <c r="C117" s="22">
        <v>16</v>
      </c>
      <c r="D117" s="65" t="s">
        <v>303</v>
      </c>
      <c r="E117" s="56">
        <v>18920.507600000001</v>
      </c>
      <c r="F117" s="56">
        <v>225045.8879</v>
      </c>
      <c r="G117" s="45">
        <v>747.94520775199703</v>
      </c>
      <c r="H117" s="45">
        <v>763.94520775199703</v>
      </c>
      <c r="I117" s="81">
        <f t="shared" si="2"/>
        <v>764.86220775199706</v>
      </c>
      <c r="J117" t="s">
        <v>310</v>
      </c>
      <c r="K117" s="99">
        <v>0</v>
      </c>
      <c r="L117" t="s">
        <v>315</v>
      </c>
      <c r="M117" t="s">
        <v>317</v>
      </c>
      <c r="N117">
        <v>3000</v>
      </c>
      <c r="O117" t="s">
        <v>321</v>
      </c>
      <c r="P117" t="s">
        <v>437</v>
      </c>
    </row>
    <row r="118" spans="1:16" x14ac:dyDescent="0.3">
      <c r="A118" s="21" t="s">
        <v>115</v>
      </c>
      <c r="B118" s="33">
        <v>88</v>
      </c>
      <c r="C118" s="22">
        <v>16</v>
      </c>
      <c r="D118" s="65" t="s">
        <v>303</v>
      </c>
      <c r="E118" s="56">
        <v>18918.8855</v>
      </c>
      <c r="F118" s="56">
        <v>225043.94080000001</v>
      </c>
      <c r="G118" s="45">
        <v>747.948852310387</v>
      </c>
      <c r="H118" s="45">
        <v>763.948852310387</v>
      </c>
      <c r="I118" s="81">
        <f t="shared" si="2"/>
        <v>764.86585231038703</v>
      </c>
      <c r="J118" t="s">
        <v>310</v>
      </c>
      <c r="K118" s="99">
        <v>0</v>
      </c>
      <c r="L118" t="s">
        <v>315</v>
      </c>
      <c r="M118" t="s">
        <v>317</v>
      </c>
      <c r="N118">
        <v>3000</v>
      </c>
      <c r="O118" t="s">
        <v>321</v>
      </c>
      <c r="P118" t="s">
        <v>438</v>
      </c>
    </row>
    <row r="119" spans="1:16" x14ac:dyDescent="0.3">
      <c r="A119" s="21" t="s">
        <v>116</v>
      </c>
      <c r="B119" s="33">
        <v>88</v>
      </c>
      <c r="C119" s="22">
        <v>16</v>
      </c>
      <c r="D119" s="65" t="s">
        <v>303</v>
      </c>
      <c r="E119" s="56">
        <v>18916.132399999999</v>
      </c>
      <c r="F119" s="56">
        <v>225040.62820000001</v>
      </c>
      <c r="G119" s="45">
        <v>747.95541837860696</v>
      </c>
      <c r="H119" s="45">
        <v>763.95541837860696</v>
      </c>
      <c r="I119" s="81">
        <f t="shared" si="2"/>
        <v>764.87241837860699</v>
      </c>
      <c r="J119" t="s">
        <v>310</v>
      </c>
      <c r="K119" s="99">
        <v>0</v>
      </c>
      <c r="L119" t="s">
        <v>315</v>
      </c>
      <c r="M119" t="s">
        <v>317</v>
      </c>
      <c r="N119">
        <v>3000</v>
      </c>
      <c r="O119" t="s">
        <v>321</v>
      </c>
      <c r="P119" t="s">
        <v>439</v>
      </c>
    </row>
    <row r="120" spans="1:16" x14ac:dyDescent="0.3">
      <c r="A120" s="21" t="s">
        <v>117</v>
      </c>
      <c r="B120" s="33">
        <v>88</v>
      </c>
      <c r="C120" s="22">
        <v>16</v>
      </c>
      <c r="D120" s="65" t="s">
        <v>303</v>
      </c>
      <c r="E120" s="56">
        <v>18914.514800000001</v>
      </c>
      <c r="F120" s="56">
        <v>225038.67739999999</v>
      </c>
      <c r="G120" s="45">
        <v>747.95950040282003</v>
      </c>
      <c r="H120" s="45">
        <v>763.95950040282003</v>
      </c>
      <c r="I120" s="81">
        <f t="shared" si="2"/>
        <v>764.87650040282006</v>
      </c>
      <c r="J120" t="s">
        <v>310</v>
      </c>
      <c r="K120" s="99">
        <v>0</v>
      </c>
      <c r="L120" t="s">
        <v>315</v>
      </c>
      <c r="M120" t="s">
        <v>317</v>
      </c>
      <c r="N120">
        <v>3000</v>
      </c>
      <c r="O120" t="s">
        <v>321</v>
      </c>
      <c r="P120" t="s">
        <v>440</v>
      </c>
    </row>
    <row r="121" spans="1:16" x14ac:dyDescent="0.3">
      <c r="A121" s="21" t="s">
        <v>118</v>
      </c>
      <c r="B121" s="33">
        <v>88</v>
      </c>
      <c r="C121" s="22">
        <v>16</v>
      </c>
      <c r="D121" s="65" t="s">
        <v>303</v>
      </c>
      <c r="E121" s="56">
        <v>18912.522199999999</v>
      </c>
      <c r="F121" s="56">
        <v>225036.27</v>
      </c>
      <c r="G121" s="45">
        <v>747.964757500774</v>
      </c>
      <c r="H121" s="45">
        <v>763.964757500774</v>
      </c>
      <c r="I121" s="81">
        <f t="shared" si="2"/>
        <v>764.88175750077403</v>
      </c>
      <c r="J121" t="s">
        <v>310</v>
      </c>
      <c r="K121" s="99">
        <v>0</v>
      </c>
      <c r="L121" t="s">
        <v>315</v>
      </c>
      <c r="M121" t="s">
        <v>317</v>
      </c>
      <c r="N121">
        <v>3000</v>
      </c>
      <c r="O121" t="s">
        <v>321</v>
      </c>
      <c r="P121" t="s">
        <v>441</v>
      </c>
    </row>
    <row r="122" spans="1:16" ht="15" thickBot="1" x14ac:dyDescent="0.35">
      <c r="A122" s="27" t="s">
        <v>119</v>
      </c>
      <c r="B122" s="36">
        <v>88</v>
      </c>
      <c r="C122" s="28">
        <v>16</v>
      </c>
      <c r="D122" s="71" t="s">
        <v>303</v>
      </c>
      <c r="E122" s="59">
        <v>18910.532200000001</v>
      </c>
      <c r="F122" s="59">
        <v>225033.86069999999</v>
      </c>
      <c r="G122" s="48">
        <v>747.97026103923395</v>
      </c>
      <c r="H122" s="48">
        <v>763.97026103923395</v>
      </c>
      <c r="I122" s="84">
        <f t="shared" si="2"/>
        <v>764.88726103923398</v>
      </c>
      <c r="J122" t="s">
        <v>310</v>
      </c>
      <c r="K122" s="99">
        <v>0</v>
      </c>
      <c r="L122" t="s">
        <v>315</v>
      </c>
      <c r="M122" t="s">
        <v>317</v>
      </c>
      <c r="N122">
        <v>3000</v>
      </c>
      <c r="O122" t="s">
        <v>321</v>
      </c>
      <c r="P122" t="s">
        <v>442</v>
      </c>
    </row>
    <row r="123" spans="1:16" ht="15" customHeight="1" x14ac:dyDescent="0.3">
      <c r="A123" s="13" t="s">
        <v>120</v>
      </c>
      <c r="B123" s="37">
        <v>88</v>
      </c>
      <c r="C123" s="14">
        <v>16</v>
      </c>
      <c r="D123" s="72" t="s">
        <v>303</v>
      </c>
      <c r="E123" s="60">
        <v>18908.519</v>
      </c>
      <c r="F123" s="60">
        <v>225031.4186</v>
      </c>
      <c r="G123" s="49">
        <v>747.97608633588004</v>
      </c>
      <c r="H123" s="49">
        <v>763.97608633588004</v>
      </c>
      <c r="I123" s="85">
        <f t="shared" si="2"/>
        <v>764.89308633588007</v>
      </c>
      <c r="J123" t="s">
        <v>310</v>
      </c>
      <c r="K123" s="99">
        <v>0</v>
      </c>
      <c r="L123" t="s">
        <v>315</v>
      </c>
      <c r="M123" t="s">
        <v>317</v>
      </c>
      <c r="N123">
        <v>3000</v>
      </c>
      <c r="O123" t="s">
        <v>321</v>
      </c>
      <c r="P123" t="s">
        <v>443</v>
      </c>
    </row>
    <row r="124" spans="1:16" x14ac:dyDescent="0.3">
      <c r="A124" s="6" t="s">
        <v>121</v>
      </c>
      <c r="B124" s="30">
        <v>88</v>
      </c>
      <c r="C124" s="7">
        <v>16</v>
      </c>
      <c r="D124" s="68" t="s">
        <v>303</v>
      </c>
      <c r="E124" s="53">
        <v>18906.533800000001</v>
      </c>
      <c r="F124" s="53">
        <v>225029.00570000001</v>
      </c>
      <c r="G124" s="42">
        <v>747.98208591484604</v>
      </c>
      <c r="H124" s="42">
        <v>763.98208591484604</v>
      </c>
      <c r="I124" s="78">
        <f t="shared" si="2"/>
        <v>764.89908591484607</v>
      </c>
      <c r="J124" t="s">
        <v>310</v>
      </c>
      <c r="K124" s="99">
        <v>0</v>
      </c>
      <c r="L124" t="s">
        <v>315</v>
      </c>
      <c r="M124" t="s">
        <v>317</v>
      </c>
      <c r="N124">
        <v>3000</v>
      </c>
      <c r="O124" t="s">
        <v>321</v>
      </c>
      <c r="P124" t="s">
        <v>444</v>
      </c>
    </row>
    <row r="125" spans="1:16" x14ac:dyDescent="0.3">
      <c r="A125" s="6" t="s">
        <v>122</v>
      </c>
      <c r="B125" s="30">
        <v>88</v>
      </c>
      <c r="C125" s="7">
        <v>16</v>
      </c>
      <c r="D125" s="68" t="s">
        <v>303</v>
      </c>
      <c r="E125" s="53">
        <v>18904.550800000001</v>
      </c>
      <c r="F125" s="53">
        <v>225026.59099999999</v>
      </c>
      <c r="G125" s="42">
        <v>747.98833193431904</v>
      </c>
      <c r="H125" s="42">
        <v>763.98833193431904</v>
      </c>
      <c r="I125" s="78">
        <f t="shared" si="2"/>
        <v>764.90533193431907</v>
      </c>
      <c r="J125" t="s">
        <v>310</v>
      </c>
      <c r="K125" s="99">
        <v>0</v>
      </c>
      <c r="L125" t="s">
        <v>315</v>
      </c>
      <c r="M125" t="s">
        <v>317</v>
      </c>
      <c r="N125">
        <v>3000</v>
      </c>
      <c r="O125" t="s">
        <v>321</v>
      </c>
      <c r="P125" t="s">
        <v>445</v>
      </c>
    </row>
    <row r="126" spans="1:16" x14ac:dyDescent="0.3">
      <c r="A126" s="6" t="s">
        <v>123</v>
      </c>
      <c r="B126" s="30">
        <v>88</v>
      </c>
      <c r="C126" s="7">
        <v>16</v>
      </c>
      <c r="D126" s="68" t="s">
        <v>303</v>
      </c>
      <c r="E126" s="53">
        <v>18902.57</v>
      </c>
      <c r="F126" s="53">
        <v>225024.17480000001</v>
      </c>
      <c r="G126" s="42">
        <v>747.99482439429801</v>
      </c>
      <c r="H126" s="42">
        <v>763.99482439429801</v>
      </c>
      <c r="I126" s="78">
        <f t="shared" si="2"/>
        <v>764.91182439429804</v>
      </c>
      <c r="J126" t="s">
        <v>310</v>
      </c>
      <c r="K126" s="99">
        <v>0</v>
      </c>
      <c r="L126" t="s">
        <v>315</v>
      </c>
      <c r="M126" t="s">
        <v>317</v>
      </c>
      <c r="N126">
        <v>3000</v>
      </c>
      <c r="O126" t="s">
        <v>321</v>
      </c>
      <c r="P126" t="s">
        <v>446</v>
      </c>
    </row>
    <row r="127" spans="1:16" x14ac:dyDescent="0.3">
      <c r="A127" s="6" t="s">
        <v>124</v>
      </c>
      <c r="B127" s="30">
        <v>88</v>
      </c>
      <c r="C127" s="7">
        <v>16</v>
      </c>
      <c r="D127" s="68" t="s">
        <v>303</v>
      </c>
      <c r="E127" s="53">
        <v>18900.591400000001</v>
      </c>
      <c r="F127" s="53">
        <v>225021.75690000001</v>
      </c>
      <c r="G127" s="42">
        <v>748.00156329478398</v>
      </c>
      <c r="H127" s="42">
        <v>764.00156329478398</v>
      </c>
      <c r="I127" s="78">
        <f t="shared" si="2"/>
        <v>764.91856329478401</v>
      </c>
      <c r="J127" t="s">
        <v>310</v>
      </c>
      <c r="K127" s="99">
        <v>0</v>
      </c>
      <c r="L127" t="s">
        <v>315</v>
      </c>
      <c r="M127" t="s">
        <v>317</v>
      </c>
      <c r="N127">
        <v>3000</v>
      </c>
      <c r="O127" t="s">
        <v>321</v>
      </c>
      <c r="P127" t="s">
        <v>447</v>
      </c>
    </row>
    <row r="128" spans="1:16" x14ac:dyDescent="0.3">
      <c r="A128" s="6" t="s">
        <v>125</v>
      </c>
      <c r="B128" s="30">
        <v>88</v>
      </c>
      <c r="C128" s="7">
        <v>16</v>
      </c>
      <c r="D128" s="68" t="s">
        <v>303</v>
      </c>
      <c r="E128" s="53">
        <v>18898.614799999999</v>
      </c>
      <c r="F128" s="53">
        <v>225019.33749999999</v>
      </c>
      <c r="G128" s="42">
        <v>748.00854863577604</v>
      </c>
      <c r="H128" s="42">
        <v>764.00854863577604</v>
      </c>
      <c r="I128" s="78">
        <f t="shared" si="2"/>
        <v>764.92554863577607</v>
      </c>
      <c r="J128" t="s">
        <v>310</v>
      </c>
      <c r="K128" s="99">
        <v>0</v>
      </c>
      <c r="L128" t="s">
        <v>315</v>
      </c>
      <c r="M128" t="s">
        <v>317</v>
      </c>
      <c r="N128">
        <v>3000</v>
      </c>
      <c r="O128" t="s">
        <v>321</v>
      </c>
      <c r="P128" t="s">
        <v>448</v>
      </c>
    </row>
    <row r="129" spans="1:16" x14ac:dyDescent="0.3">
      <c r="A129" s="6" t="s">
        <v>126</v>
      </c>
      <c r="B129" s="30">
        <v>88</v>
      </c>
      <c r="C129" s="7">
        <v>16</v>
      </c>
      <c r="D129" s="68" t="s">
        <v>303</v>
      </c>
      <c r="E129" s="53">
        <v>18896.6404</v>
      </c>
      <c r="F129" s="53">
        <v>225016.91649999999</v>
      </c>
      <c r="G129" s="42">
        <v>748.01578041727396</v>
      </c>
      <c r="H129" s="42">
        <v>764.01578041727396</v>
      </c>
      <c r="I129" s="78">
        <f t="shared" si="2"/>
        <v>764.93278041727399</v>
      </c>
      <c r="J129" t="s">
        <v>310</v>
      </c>
      <c r="K129" s="99">
        <v>0</v>
      </c>
      <c r="L129" t="s">
        <v>315</v>
      </c>
      <c r="M129" t="s">
        <v>317</v>
      </c>
      <c r="N129">
        <v>3000</v>
      </c>
      <c r="O129" t="s">
        <v>321</v>
      </c>
      <c r="P129" t="s">
        <v>449</v>
      </c>
    </row>
    <row r="130" spans="1:16" ht="15" thickBot="1" x14ac:dyDescent="0.35">
      <c r="A130" s="15" t="s">
        <v>127</v>
      </c>
      <c r="B130" s="38">
        <v>88</v>
      </c>
      <c r="C130" s="16">
        <v>16</v>
      </c>
      <c r="D130" s="73" t="s">
        <v>303</v>
      </c>
      <c r="E130" s="61">
        <v>18894.667799999999</v>
      </c>
      <c r="F130" s="61">
        <v>225014.49419999999</v>
      </c>
      <c r="G130" s="50">
        <v>748.02325863927899</v>
      </c>
      <c r="H130" s="50">
        <v>764.02325863927899</v>
      </c>
      <c r="I130" s="86">
        <f t="shared" si="2"/>
        <v>764.94025863927902</v>
      </c>
      <c r="J130" t="s">
        <v>310</v>
      </c>
      <c r="K130" s="99">
        <v>0</v>
      </c>
      <c r="L130" t="s">
        <v>315</v>
      </c>
      <c r="M130" t="s">
        <v>317</v>
      </c>
      <c r="N130">
        <v>3000</v>
      </c>
      <c r="O130" t="s">
        <v>321</v>
      </c>
      <c r="P130" t="s">
        <v>450</v>
      </c>
    </row>
    <row r="131" spans="1:16" ht="15" customHeight="1" x14ac:dyDescent="0.3">
      <c r="A131" s="25" t="s">
        <v>128</v>
      </c>
      <c r="B131" s="35">
        <v>88</v>
      </c>
      <c r="C131" s="26">
        <v>16</v>
      </c>
      <c r="D131" s="70" t="s">
        <v>303</v>
      </c>
      <c r="E131" s="58">
        <v>18892.671999999999</v>
      </c>
      <c r="F131" s="58">
        <v>225012.0393</v>
      </c>
      <c r="G131" s="47">
        <v>748.03108393592504</v>
      </c>
      <c r="H131" s="47">
        <v>764.03108393592504</v>
      </c>
      <c r="I131" s="83">
        <f t="shared" si="2"/>
        <v>764.94808393592507</v>
      </c>
      <c r="J131" t="s">
        <v>310</v>
      </c>
      <c r="K131" s="99">
        <v>0</v>
      </c>
      <c r="L131" t="s">
        <v>315</v>
      </c>
      <c r="M131" t="s">
        <v>317</v>
      </c>
      <c r="N131">
        <v>3000</v>
      </c>
      <c r="O131" t="s">
        <v>321</v>
      </c>
      <c r="P131" t="s">
        <v>451</v>
      </c>
    </row>
    <row r="132" spans="1:16" x14ac:dyDescent="0.3">
      <c r="A132" s="21" t="s">
        <v>129</v>
      </c>
      <c r="B132" s="33">
        <v>88</v>
      </c>
      <c r="C132" s="22">
        <v>16</v>
      </c>
      <c r="D132" s="65" t="s">
        <v>303</v>
      </c>
      <c r="E132" s="56">
        <v>18890.861000000001</v>
      </c>
      <c r="F132" s="56">
        <v>225009.80859999999</v>
      </c>
      <c r="G132" s="45">
        <v>748.038410152815</v>
      </c>
      <c r="H132" s="45">
        <v>764.038410152815</v>
      </c>
      <c r="I132" s="81">
        <f t="shared" si="2"/>
        <v>764.95541015281503</v>
      </c>
      <c r="J132" t="s">
        <v>310</v>
      </c>
      <c r="K132" s="99">
        <v>0</v>
      </c>
      <c r="L132" t="s">
        <v>315</v>
      </c>
      <c r="M132" t="s">
        <v>317</v>
      </c>
      <c r="N132">
        <v>3000</v>
      </c>
      <c r="O132" t="s">
        <v>321</v>
      </c>
      <c r="P132" t="s">
        <v>452</v>
      </c>
    </row>
    <row r="133" spans="1:16" x14ac:dyDescent="0.3">
      <c r="A133" s="21" t="s">
        <v>130</v>
      </c>
      <c r="B133" s="33">
        <v>88</v>
      </c>
      <c r="C133" s="22">
        <v>16</v>
      </c>
      <c r="D133" s="65" t="s">
        <v>303</v>
      </c>
      <c r="E133" s="56">
        <v>18888.578799999999</v>
      </c>
      <c r="F133" s="56">
        <v>225006.99340000001</v>
      </c>
      <c r="G133" s="45">
        <v>748.04794827618798</v>
      </c>
      <c r="H133" s="45">
        <v>764.04794827618798</v>
      </c>
      <c r="I133" s="81">
        <f t="shared" si="2"/>
        <v>764.96494827618801</v>
      </c>
      <c r="J133" t="s">
        <v>310</v>
      </c>
      <c r="K133" s="99">
        <v>0</v>
      </c>
      <c r="L133" t="s">
        <v>315</v>
      </c>
      <c r="M133" t="s">
        <v>317</v>
      </c>
      <c r="N133">
        <v>3000</v>
      </c>
      <c r="O133" t="s">
        <v>321</v>
      </c>
      <c r="P133" t="s">
        <v>453</v>
      </c>
    </row>
    <row r="134" spans="1:16" x14ac:dyDescent="0.3">
      <c r="A134" s="21" t="s">
        <v>131</v>
      </c>
      <c r="B134" s="33">
        <v>88</v>
      </c>
      <c r="C134" s="22">
        <v>16</v>
      </c>
      <c r="D134" s="65" t="s">
        <v>303</v>
      </c>
      <c r="E134" s="56">
        <v>18887.142599999999</v>
      </c>
      <c r="F134" s="56">
        <v>225005.2194</v>
      </c>
      <c r="G134" s="45">
        <v>748.05412599148895</v>
      </c>
      <c r="H134" s="45">
        <v>764.05412599148895</v>
      </c>
      <c r="I134" s="81">
        <f t="shared" si="2"/>
        <v>764.97112599148898</v>
      </c>
      <c r="J134" t="s">
        <v>310</v>
      </c>
      <c r="K134" s="99">
        <v>0</v>
      </c>
      <c r="L134" t="s">
        <v>315</v>
      </c>
      <c r="M134" t="s">
        <v>317</v>
      </c>
      <c r="N134">
        <v>3000</v>
      </c>
      <c r="O134" t="s">
        <v>321</v>
      </c>
      <c r="P134" t="s">
        <v>454</v>
      </c>
    </row>
    <row r="135" spans="1:16" x14ac:dyDescent="0.3">
      <c r="A135" s="21" t="s">
        <v>132</v>
      </c>
      <c r="B135" s="33">
        <v>88</v>
      </c>
      <c r="C135" s="22">
        <v>16</v>
      </c>
      <c r="D135" s="65" t="s">
        <v>303</v>
      </c>
      <c r="E135" s="56">
        <v>18884.4365</v>
      </c>
      <c r="F135" s="56">
        <v>225001.87210000001</v>
      </c>
      <c r="G135" s="45">
        <v>748.06613509768397</v>
      </c>
      <c r="H135" s="45">
        <v>764.06613509768397</v>
      </c>
      <c r="I135" s="81">
        <f t="shared" si="2"/>
        <v>764.983135097684</v>
      </c>
      <c r="J135" t="s">
        <v>310</v>
      </c>
      <c r="K135" s="99">
        <v>0</v>
      </c>
      <c r="L135" t="s">
        <v>315</v>
      </c>
      <c r="M135" t="s">
        <v>317</v>
      </c>
      <c r="N135">
        <v>3000</v>
      </c>
      <c r="O135" t="s">
        <v>321</v>
      </c>
      <c r="P135" t="s">
        <v>455</v>
      </c>
    </row>
    <row r="136" spans="1:16" x14ac:dyDescent="0.3">
      <c r="A136" s="21" t="s">
        <v>133</v>
      </c>
      <c r="B136" s="33">
        <v>88</v>
      </c>
      <c r="C136" s="22">
        <v>16</v>
      </c>
      <c r="D136" s="65" t="s">
        <v>303</v>
      </c>
      <c r="E136" s="56">
        <v>18882.845600000001</v>
      </c>
      <c r="F136" s="56">
        <v>224999.90160000001</v>
      </c>
      <c r="G136" s="45">
        <v>748.07341965354306</v>
      </c>
      <c r="H136" s="45">
        <v>764.07341965354306</v>
      </c>
      <c r="I136" s="81">
        <f t="shared" si="2"/>
        <v>764.99041965354309</v>
      </c>
      <c r="J136" t="s">
        <v>310</v>
      </c>
      <c r="K136" s="99">
        <v>0</v>
      </c>
      <c r="L136" t="s">
        <v>315</v>
      </c>
      <c r="M136" t="s">
        <v>317</v>
      </c>
      <c r="N136">
        <v>3000</v>
      </c>
      <c r="O136" t="s">
        <v>321</v>
      </c>
      <c r="P136" t="s">
        <v>456</v>
      </c>
    </row>
    <row r="137" spans="1:16" x14ac:dyDescent="0.3">
      <c r="A137" s="21" t="s">
        <v>134</v>
      </c>
      <c r="B137" s="33">
        <v>88</v>
      </c>
      <c r="C137" s="22">
        <v>16</v>
      </c>
      <c r="D137" s="65" t="s">
        <v>303</v>
      </c>
      <c r="E137" s="56">
        <v>18880.885200000001</v>
      </c>
      <c r="F137" s="56">
        <v>224997.4706</v>
      </c>
      <c r="G137" s="45">
        <v>748.08262611858595</v>
      </c>
      <c r="H137" s="45">
        <v>764.08262611858595</v>
      </c>
      <c r="I137" s="81">
        <f t="shared" si="2"/>
        <v>764.99962611858598</v>
      </c>
      <c r="J137" t="s">
        <v>310</v>
      </c>
      <c r="K137" s="99">
        <v>0</v>
      </c>
      <c r="L137" t="s">
        <v>315</v>
      </c>
      <c r="M137" t="s">
        <v>317</v>
      </c>
      <c r="N137">
        <v>3000</v>
      </c>
      <c r="O137" t="s">
        <v>321</v>
      </c>
      <c r="P137" t="s">
        <v>457</v>
      </c>
    </row>
    <row r="138" spans="1:16" ht="15" thickBot="1" x14ac:dyDescent="0.35">
      <c r="A138" s="27" t="s">
        <v>135</v>
      </c>
      <c r="B138" s="36">
        <v>88</v>
      </c>
      <c r="C138" s="28">
        <v>16</v>
      </c>
      <c r="D138" s="71" t="s">
        <v>303</v>
      </c>
      <c r="E138" s="59">
        <v>18878.926299999999</v>
      </c>
      <c r="F138" s="59">
        <v>224995.0386</v>
      </c>
      <c r="G138" s="48">
        <v>748.09207902413505</v>
      </c>
      <c r="H138" s="48">
        <v>764.09207902413505</v>
      </c>
      <c r="I138" s="84">
        <f t="shared" si="2"/>
        <v>765.00907902413508</v>
      </c>
      <c r="J138" t="s">
        <v>310</v>
      </c>
      <c r="K138" s="99">
        <v>0</v>
      </c>
      <c r="L138" t="s">
        <v>315</v>
      </c>
      <c r="M138" t="s">
        <v>317</v>
      </c>
      <c r="N138">
        <v>3000</v>
      </c>
      <c r="O138" t="s">
        <v>321</v>
      </c>
      <c r="P138" t="s">
        <v>458</v>
      </c>
    </row>
    <row r="139" spans="1:16" ht="15" customHeight="1" x14ac:dyDescent="0.3">
      <c r="A139" s="13" t="s">
        <v>136</v>
      </c>
      <c r="B139" s="37">
        <v>88</v>
      </c>
      <c r="C139" s="14">
        <v>16</v>
      </c>
      <c r="D139" s="72" t="s">
        <v>303</v>
      </c>
      <c r="E139" s="60">
        <v>18876.9437</v>
      </c>
      <c r="F139" s="60">
        <v>224992.57449999999</v>
      </c>
      <c r="G139" s="49">
        <v>748.10190432078105</v>
      </c>
      <c r="H139" s="49">
        <v>764.10190432078105</v>
      </c>
      <c r="I139" s="85">
        <f t="shared" si="2"/>
        <v>765.01890432078108</v>
      </c>
      <c r="J139" t="s">
        <v>310</v>
      </c>
      <c r="K139" s="99">
        <v>0</v>
      </c>
      <c r="L139" t="s">
        <v>315</v>
      </c>
      <c r="M139" t="s">
        <v>317</v>
      </c>
      <c r="N139">
        <v>3000</v>
      </c>
      <c r="O139" t="s">
        <v>321</v>
      </c>
      <c r="P139" t="s">
        <v>459</v>
      </c>
    </row>
    <row r="140" spans="1:16" x14ac:dyDescent="0.3">
      <c r="A140" s="6" t="s">
        <v>137</v>
      </c>
      <c r="B140" s="30">
        <v>88</v>
      </c>
      <c r="C140" s="7">
        <v>16</v>
      </c>
      <c r="D140" s="68" t="s">
        <v>303</v>
      </c>
      <c r="E140" s="53">
        <v>18874.987499999999</v>
      </c>
      <c r="F140" s="53">
        <v>224990.14060000001</v>
      </c>
      <c r="G140" s="42">
        <v>748.11185326683596</v>
      </c>
      <c r="H140" s="42">
        <v>764.11185326683596</v>
      </c>
      <c r="I140" s="78">
        <f t="shared" ref="I140:I194" si="3">H140+0.917</f>
        <v>765.02885326683599</v>
      </c>
      <c r="J140" t="s">
        <v>310</v>
      </c>
      <c r="K140" s="99">
        <v>0</v>
      </c>
      <c r="L140" t="s">
        <v>315</v>
      </c>
      <c r="M140" t="s">
        <v>317</v>
      </c>
      <c r="N140">
        <v>3000</v>
      </c>
      <c r="O140" t="s">
        <v>321</v>
      </c>
      <c r="P140" t="s">
        <v>460</v>
      </c>
    </row>
    <row r="141" spans="1:16" x14ac:dyDescent="0.3">
      <c r="A141" s="6" t="s">
        <v>138</v>
      </c>
      <c r="B141" s="30">
        <v>88</v>
      </c>
      <c r="C141" s="7">
        <v>16</v>
      </c>
      <c r="D141" s="68" t="s">
        <v>303</v>
      </c>
      <c r="E141" s="53">
        <v>18873.032599999999</v>
      </c>
      <c r="F141" s="53">
        <v>224987.7058</v>
      </c>
      <c r="G141" s="42">
        <v>748.122048653398</v>
      </c>
      <c r="H141" s="42">
        <v>764.122048653398</v>
      </c>
      <c r="I141" s="78">
        <f t="shared" si="3"/>
        <v>765.03904865339803</v>
      </c>
      <c r="J141" t="s">
        <v>310</v>
      </c>
      <c r="K141" s="99">
        <v>0</v>
      </c>
      <c r="L141" t="s">
        <v>315</v>
      </c>
      <c r="M141" t="s">
        <v>317</v>
      </c>
      <c r="N141">
        <v>3000</v>
      </c>
      <c r="O141" t="s">
        <v>321</v>
      </c>
      <c r="P141" t="s">
        <v>461</v>
      </c>
    </row>
    <row r="142" spans="1:16" x14ac:dyDescent="0.3">
      <c r="A142" s="6" t="s">
        <v>139</v>
      </c>
      <c r="B142" s="30">
        <v>88</v>
      </c>
      <c r="C142" s="7">
        <v>16</v>
      </c>
      <c r="D142" s="68" t="s">
        <v>303</v>
      </c>
      <c r="E142" s="53">
        <v>18871.079000000002</v>
      </c>
      <c r="F142" s="53">
        <v>224985.2703</v>
      </c>
      <c r="G142" s="42">
        <v>748.13249048046703</v>
      </c>
      <c r="H142" s="42">
        <v>764.13249048046703</v>
      </c>
      <c r="I142" s="78">
        <f t="shared" si="3"/>
        <v>765.04949048046706</v>
      </c>
      <c r="J142" t="s">
        <v>310</v>
      </c>
      <c r="K142" s="99">
        <v>0</v>
      </c>
      <c r="L142" t="s">
        <v>315</v>
      </c>
      <c r="M142" t="s">
        <v>317</v>
      </c>
      <c r="N142">
        <v>3000</v>
      </c>
      <c r="O142" t="s">
        <v>321</v>
      </c>
      <c r="P142" t="s">
        <v>462</v>
      </c>
    </row>
    <row r="143" spans="1:16" x14ac:dyDescent="0.3">
      <c r="A143" s="6" t="s">
        <v>140</v>
      </c>
      <c r="B143" s="30">
        <v>88</v>
      </c>
      <c r="C143" s="7">
        <v>16</v>
      </c>
      <c r="D143" s="68" t="s">
        <v>303</v>
      </c>
      <c r="E143" s="53">
        <v>18869.126400000001</v>
      </c>
      <c r="F143" s="53">
        <v>224982.8339</v>
      </c>
      <c r="G143" s="42">
        <v>748.14317874804101</v>
      </c>
      <c r="H143" s="42">
        <v>764.14317874804101</v>
      </c>
      <c r="I143" s="78">
        <f t="shared" si="3"/>
        <v>765.06017874804104</v>
      </c>
      <c r="J143" t="s">
        <v>310</v>
      </c>
      <c r="K143" s="99">
        <v>0</v>
      </c>
      <c r="L143" t="s">
        <v>315</v>
      </c>
      <c r="M143" t="s">
        <v>317</v>
      </c>
      <c r="N143">
        <v>3000</v>
      </c>
      <c r="O143" t="s">
        <v>321</v>
      </c>
      <c r="P143" t="s">
        <v>463</v>
      </c>
    </row>
    <row r="144" spans="1:16" x14ac:dyDescent="0.3">
      <c r="A144" s="6" t="s">
        <v>141</v>
      </c>
      <c r="B144" s="30">
        <v>88</v>
      </c>
      <c r="C144" s="7">
        <v>16</v>
      </c>
      <c r="D144" s="68" t="s">
        <v>303</v>
      </c>
      <c r="E144" s="53">
        <v>18867.174999999999</v>
      </c>
      <c r="F144" s="53">
        <v>224980.39660000001</v>
      </c>
      <c r="G144" s="42">
        <v>748.15411345612199</v>
      </c>
      <c r="H144" s="42">
        <v>764.15411345612199</v>
      </c>
      <c r="I144" s="78">
        <f t="shared" si="3"/>
        <v>765.07111345612202</v>
      </c>
      <c r="J144" t="s">
        <v>310</v>
      </c>
      <c r="K144" s="99">
        <v>0</v>
      </c>
      <c r="L144" t="s">
        <v>315</v>
      </c>
      <c r="M144" t="s">
        <v>317</v>
      </c>
      <c r="N144">
        <v>3000</v>
      </c>
      <c r="O144" t="s">
        <v>321</v>
      </c>
      <c r="P144" t="s">
        <v>464</v>
      </c>
    </row>
    <row r="145" spans="1:16" x14ac:dyDescent="0.3">
      <c r="A145" s="6" t="s">
        <v>142</v>
      </c>
      <c r="B145" s="30">
        <v>88</v>
      </c>
      <c r="C145" s="7">
        <v>16</v>
      </c>
      <c r="D145" s="68" t="s">
        <v>303</v>
      </c>
      <c r="E145" s="53">
        <v>18865.224600000001</v>
      </c>
      <c r="F145" s="53">
        <v>224977.95850000001</v>
      </c>
      <c r="G145" s="42">
        <v>748.16529460470895</v>
      </c>
      <c r="H145" s="42">
        <v>764.16529460470895</v>
      </c>
      <c r="I145" s="78">
        <f t="shared" si="3"/>
        <v>765.08229460470898</v>
      </c>
      <c r="J145" t="s">
        <v>310</v>
      </c>
      <c r="K145" s="99">
        <v>0</v>
      </c>
      <c r="L145" t="s">
        <v>315</v>
      </c>
      <c r="M145" t="s">
        <v>317</v>
      </c>
      <c r="N145">
        <v>3000</v>
      </c>
      <c r="O145" t="s">
        <v>321</v>
      </c>
      <c r="P145" t="s">
        <v>465</v>
      </c>
    </row>
    <row r="146" spans="1:16" ht="15" thickBot="1" x14ac:dyDescent="0.35">
      <c r="A146" s="15" t="s">
        <v>143</v>
      </c>
      <c r="B146" s="38">
        <v>88</v>
      </c>
      <c r="C146" s="16">
        <v>16</v>
      </c>
      <c r="D146" s="73" t="s">
        <v>303</v>
      </c>
      <c r="E146" s="61">
        <v>18863.275300000001</v>
      </c>
      <c r="F146" s="61">
        <v>224975.51949999999</v>
      </c>
      <c r="G146" s="50">
        <v>748.17672219380302</v>
      </c>
      <c r="H146" s="50">
        <v>764.17672219380302</v>
      </c>
      <c r="I146" s="86">
        <f t="shared" si="3"/>
        <v>765.09372219380305</v>
      </c>
      <c r="J146" t="s">
        <v>310</v>
      </c>
      <c r="K146" s="99">
        <v>0</v>
      </c>
      <c r="L146" t="s">
        <v>315</v>
      </c>
      <c r="M146" t="s">
        <v>317</v>
      </c>
      <c r="N146">
        <v>3000</v>
      </c>
      <c r="O146" t="s">
        <v>321</v>
      </c>
      <c r="P146" t="s">
        <v>466</v>
      </c>
    </row>
    <row r="147" spans="1:16" ht="15" customHeight="1" x14ac:dyDescent="0.3">
      <c r="A147" s="25" t="s">
        <v>144</v>
      </c>
      <c r="B147" s="35">
        <v>88</v>
      </c>
      <c r="C147" s="26">
        <v>16</v>
      </c>
      <c r="D147" s="70" t="s">
        <v>303</v>
      </c>
      <c r="E147" s="58">
        <v>18861.302199999998</v>
      </c>
      <c r="F147" s="58">
        <v>224973.04829999999</v>
      </c>
      <c r="G147" s="47">
        <v>748.18854749044897</v>
      </c>
      <c r="H147" s="47">
        <v>764.18854749044897</v>
      </c>
      <c r="I147" s="83">
        <f t="shared" si="3"/>
        <v>765.105547490449</v>
      </c>
      <c r="J147" t="s">
        <v>310</v>
      </c>
      <c r="K147" s="99">
        <v>0</v>
      </c>
      <c r="L147" t="s">
        <v>315</v>
      </c>
      <c r="M147" t="s">
        <v>317</v>
      </c>
      <c r="N147">
        <v>3000</v>
      </c>
      <c r="O147" t="s">
        <v>321</v>
      </c>
      <c r="P147" t="s">
        <v>467</v>
      </c>
    </row>
    <row r="148" spans="1:16" x14ac:dyDescent="0.3">
      <c r="A148" s="21" t="s">
        <v>145</v>
      </c>
      <c r="B148" s="33">
        <v>88</v>
      </c>
      <c r="C148" s="22">
        <v>16</v>
      </c>
      <c r="D148" s="65" t="s">
        <v>303</v>
      </c>
      <c r="E148" s="56">
        <v>18859.355100000001</v>
      </c>
      <c r="F148" s="56">
        <v>224970.60750000001</v>
      </c>
      <c r="G148" s="45">
        <v>748.20047112004897</v>
      </c>
      <c r="H148" s="45">
        <v>764.20047112004897</v>
      </c>
      <c r="I148" s="81">
        <f t="shared" si="3"/>
        <v>765.117471120049</v>
      </c>
      <c r="J148" t="s">
        <v>310</v>
      </c>
      <c r="K148" s="99">
        <v>0</v>
      </c>
      <c r="L148" t="s">
        <v>315</v>
      </c>
      <c r="M148" t="s">
        <v>317</v>
      </c>
      <c r="N148">
        <v>3000</v>
      </c>
      <c r="O148" t="s">
        <v>321</v>
      </c>
      <c r="P148" t="s">
        <v>468</v>
      </c>
    </row>
    <row r="149" spans="1:16" x14ac:dyDescent="0.3">
      <c r="A149" s="21" t="s">
        <v>146</v>
      </c>
      <c r="B149" s="33">
        <v>88</v>
      </c>
      <c r="C149" s="22">
        <v>16</v>
      </c>
      <c r="D149" s="65" t="s">
        <v>303</v>
      </c>
      <c r="E149" s="56">
        <v>18857.409100000001</v>
      </c>
      <c r="F149" s="56">
        <v>224968.16589999999</v>
      </c>
      <c r="G149" s="45">
        <v>748.21264119015495</v>
      </c>
      <c r="H149" s="45">
        <v>764.21264119015495</v>
      </c>
      <c r="I149" s="81">
        <f t="shared" si="3"/>
        <v>765.12964119015498</v>
      </c>
      <c r="J149" t="s">
        <v>310</v>
      </c>
      <c r="K149" s="99">
        <v>0</v>
      </c>
      <c r="L149" t="s">
        <v>315</v>
      </c>
      <c r="M149" t="s">
        <v>317</v>
      </c>
      <c r="N149">
        <v>3000</v>
      </c>
      <c r="O149" t="s">
        <v>321</v>
      </c>
      <c r="P149" t="s">
        <v>469</v>
      </c>
    </row>
    <row r="150" spans="1:16" x14ac:dyDescent="0.3">
      <c r="A150" s="21" t="s">
        <v>147</v>
      </c>
      <c r="B150" s="33">
        <v>88</v>
      </c>
      <c r="C150" s="22">
        <v>16</v>
      </c>
      <c r="D150" s="65" t="s">
        <v>303</v>
      </c>
      <c r="E150" s="56">
        <v>18855.464100000001</v>
      </c>
      <c r="F150" s="56">
        <v>224965.72339999999</v>
      </c>
      <c r="G150" s="45">
        <v>748.22505770076805</v>
      </c>
      <c r="H150" s="45">
        <v>764.22505770076805</v>
      </c>
      <c r="I150" s="81">
        <f t="shared" si="3"/>
        <v>765.14205770076808</v>
      </c>
      <c r="J150" t="s">
        <v>310</v>
      </c>
      <c r="K150" s="99">
        <v>0</v>
      </c>
      <c r="L150" t="s">
        <v>315</v>
      </c>
      <c r="M150" t="s">
        <v>317</v>
      </c>
      <c r="N150">
        <v>3000</v>
      </c>
      <c r="O150" t="s">
        <v>321</v>
      </c>
      <c r="P150" t="s">
        <v>470</v>
      </c>
    </row>
    <row r="151" spans="1:16" x14ac:dyDescent="0.3">
      <c r="A151" s="21" t="s">
        <v>148</v>
      </c>
      <c r="B151" s="33">
        <v>88</v>
      </c>
      <c r="C151" s="22">
        <v>16</v>
      </c>
      <c r="D151" s="65" t="s">
        <v>303</v>
      </c>
      <c r="E151" s="56">
        <v>18853.5203</v>
      </c>
      <c r="F151" s="56">
        <v>224963.2801</v>
      </c>
      <c r="G151" s="45">
        <v>748.237720651887</v>
      </c>
      <c r="H151" s="45">
        <v>764.237720651887</v>
      </c>
      <c r="I151" s="81">
        <f t="shared" si="3"/>
        <v>765.15472065188703</v>
      </c>
      <c r="J151" t="s">
        <v>310</v>
      </c>
      <c r="K151" s="99">
        <v>0</v>
      </c>
      <c r="L151" t="s">
        <v>315</v>
      </c>
      <c r="M151" t="s">
        <v>317</v>
      </c>
      <c r="N151">
        <v>3000</v>
      </c>
      <c r="O151" t="s">
        <v>321</v>
      </c>
      <c r="P151" t="s">
        <v>471</v>
      </c>
    </row>
    <row r="152" spans="1:16" x14ac:dyDescent="0.3">
      <c r="A152" s="21" t="s">
        <v>149</v>
      </c>
      <c r="B152" s="33">
        <v>88</v>
      </c>
      <c r="C152" s="22">
        <v>16</v>
      </c>
      <c r="D152" s="65" t="s">
        <v>303</v>
      </c>
      <c r="E152" s="56">
        <v>18851.577600000001</v>
      </c>
      <c r="F152" s="56">
        <v>224960.83590000001</v>
      </c>
      <c r="G152" s="45">
        <v>748.25063004351205</v>
      </c>
      <c r="H152" s="45">
        <v>764.25063004351205</v>
      </c>
      <c r="I152" s="81">
        <f t="shared" si="3"/>
        <v>765.16763004351208</v>
      </c>
      <c r="J152" t="s">
        <v>310</v>
      </c>
      <c r="K152" s="99">
        <v>0</v>
      </c>
      <c r="L152" t="s">
        <v>315</v>
      </c>
      <c r="M152" t="s">
        <v>317</v>
      </c>
      <c r="N152">
        <v>3000</v>
      </c>
      <c r="O152" t="s">
        <v>321</v>
      </c>
      <c r="P152" t="s">
        <v>472</v>
      </c>
    </row>
    <row r="153" spans="1:16" x14ac:dyDescent="0.3">
      <c r="A153" s="21" t="s">
        <v>150</v>
      </c>
      <c r="B153" s="33">
        <v>88</v>
      </c>
      <c r="C153" s="22">
        <v>16</v>
      </c>
      <c r="D153" s="65" t="s">
        <v>303</v>
      </c>
      <c r="E153" s="56">
        <v>18849.635900000001</v>
      </c>
      <c r="F153" s="56">
        <v>224958.39079999999</v>
      </c>
      <c r="G153" s="45">
        <v>748.26378587564398</v>
      </c>
      <c r="H153" s="45">
        <v>764.26378587564398</v>
      </c>
      <c r="I153" s="81">
        <f t="shared" si="3"/>
        <v>765.18078587564401</v>
      </c>
      <c r="J153" t="s">
        <v>310</v>
      </c>
      <c r="K153" s="99">
        <v>0</v>
      </c>
      <c r="L153" t="s">
        <v>315</v>
      </c>
      <c r="M153" t="s">
        <v>317</v>
      </c>
      <c r="N153">
        <v>3000</v>
      </c>
      <c r="O153" t="s">
        <v>321</v>
      </c>
      <c r="P153" t="s">
        <v>473</v>
      </c>
    </row>
    <row r="154" spans="1:16" ht="15" thickBot="1" x14ac:dyDescent="0.35">
      <c r="A154" s="27" t="s">
        <v>151</v>
      </c>
      <c r="B154" s="36">
        <v>88</v>
      </c>
      <c r="C154" s="28">
        <v>16</v>
      </c>
      <c r="D154" s="71" t="s">
        <v>303</v>
      </c>
      <c r="E154" s="59">
        <v>18847.695400000001</v>
      </c>
      <c r="F154" s="59">
        <v>224955.9448</v>
      </c>
      <c r="G154" s="48">
        <v>748.27718814828199</v>
      </c>
      <c r="H154" s="48">
        <v>764.27718814828199</v>
      </c>
      <c r="I154" s="84">
        <f t="shared" si="3"/>
        <v>765.19418814828202</v>
      </c>
      <c r="J154" t="s">
        <v>310</v>
      </c>
      <c r="K154" s="99">
        <v>0</v>
      </c>
      <c r="L154" t="s">
        <v>315</v>
      </c>
      <c r="M154" t="s">
        <v>317</v>
      </c>
      <c r="N154">
        <v>3000</v>
      </c>
      <c r="O154" t="s">
        <v>321</v>
      </c>
      <c r="P154" t="s">
        <v>474</v>
      </c>
    </row>
    <row r="155" spans="1:16" ht="15" customHeight="1" x14ac:dyDescent="0.3">
      <c r="A155" s="13" t="s">
        <v>152</v>
      </c>
      <c r="B155" s="37">
        <v>88</v>
      </c>
      <c r="C155" s="14">
        <v>16</v>
      </c>
      <c r="D155" s="72" t="s">
        <v>303</v>
      </c>
      <c r="E155" s="60">
        <v>18845.731</v>
      </c>
      <c r="F155" s="60">
        <v>224953.46660000001</v>
      </c>
      <c r="G155" s="49">
        <v>748.29101344492904</v>
      </c>
      <c r="H155" s="49">
        <v>764.29101344492904</v>
      </c>
      <c r="I155" s="85">
        <f t="shared" si="3"/>
        <v>765.20801344492907</v>
      </c>
      <c r="J155" t="s">
        <v>310</v>
      </c>
      <c r="K155" s="99">
        <v>0</v>
      </c>
      <c r="L155" t="s">
        <v>315</v>
      </c>
      <c r="M155" t="s">
        <v>317</v>
      </c>
      <c r="N155">
        <v>3000</v>
      </c>
      <c r="O155" t="s">
        <v>321</v>
      </c>
      <c r="P155" t="s">
        <v>475</v>
      </c>
    </row>
    <row r="156" spans="1:16" x14ac:dyDescent="0.3">
      <c r="A156" s="6" t="s">
        <v>153</v>
      </c>
      <c r="B156" s="30">
        <v>88</v>
      </c>
      <c r="C156" s="7">
        <v>16</v>
      </c>
      <c r="D156" s="68" t="s">
        <v>303</v>
      </c>
      <c r="E156" s="53">
        <v>18843.792700000002</v>
      </c>
      <c r="F156" s="53">
        <v>224951.0189</v>
      </c>
      <c r="G156" s="42">
        <v>748.30491175807299</v>
      </c>
      <c r="H156" s="42">
        <v>764.30491175807299</v>
      </c>
      <c r="I156" s="78">
        <f t="shared" si="3"/>
        <v>765.22191175807302</v>
      </c>
      <c r="J156" t="s">
        <v>310</v>
      </c>
      <c r="K156" s="99">
        <v>0</v>
      </c>
      <c r="L156" t="s">
        <v>315</v>
      </c>
      <c r="M156" t="s">
        <v>317</v>
      </c>
      <c r="N156">
        <v>3000</v>
      </c>
      <c r="O156" t="s">
        <v>321</v>
      </c>
      <c r="P156" t="s">
        <v>476</v>
      </c>
    </row>
    <row r="157" spans="1:16" x14ac:dyDescent="0.3">
      <c r="A157" s="6" t="s">
        <v>154</v>
      </c>
      <c r="B157" s="30">
        <v>88</v>
      </c>
      <c r="C157" s="7">
        <v>16</v>
      </c>
      <c r="D157" s="68" t="s">
        <v>303</v>
      </c>
      <c r="E157" s="53">
        <v>18841.8554</v>
      </c>
      <c r="F157" s="53">
        <v>224948.5704</v>
      </c>
      <c r="G157" s="42">
        <v>748.31905651172406</v>
      </c>
      <c r="H157" s="42">
        <v>764.31905651172406</v>
      </c>
      <c r="I157" s="78">
        <f t="shared" si="3"/>
        <v>765.23605651172409</v>
      </c>
      <c r="J157" t="s">
        <v>310</v>
      </c>
      <c r="K157" s="99">
        <v>0</v>
      </c>
      <c r="L157" t="s">
        <v>315</v>
      </c>
      <c r="M157" t="s">
        <v>317</v>
      </c>
      <c r="N157">
        <v>3000</v>
      </c>
      <c r="O157" t="s">
        <v>321</v>
      </c>
      <c r="P157" t="s">
        <v>477</v>
      </c>
    </row>
    <row r="158" spans="1:16" x14ac:dyDescent="0.3">
      <c r="A158" s="6" t="s">
        <v>155</v>
      </c>
      <c r="B158" s="30">
        <v>88</v>
      </c>
      <c r="C158" s="7">
        <v>16</v>
      </c>
      <c r="D158" s="68" t="s">
        <v>303</v>
      </c>
      <c r="E158" s="53">
        <v>18840.2853</v>
      </c>
      <c r="F158" s="53">
        <v>224946.58420000001</v>
      </c>
      <c r="G158" s="42">
        <v>748.330707399228</v>
      </c>
      <c r="H158" s="42">
        <v>764.330707399228</v>
      </c>
      <c r="I158" s="78">
        <f t="shared" si="3"/>
        <v>765.24770739922803</v>
      </c>
      <c r="J158" t="s">
        <v>310</v>
      </c>
      <c r="K158" s="99">
        <v>0</v>
      </c>
      <c r="L158" t="s">
        <v>315</v>
      </c>
      <c r="M158" t="s">
        <v>317</v>
      </c>
      <c r="N158">
        <v>3000</v>
      </c>
      <c r="O158" t="s">
        <v>321</v>
      </c>
      <c r="P158" t="s">
        <v>478</v>
      </c>
    </row>
    <row r="159" spans="1:16" x14ac:dyDescent="0.3">
      <c r="A159" s="6" t="s">
        <v>156</v>
      </c>
      <c r="B159" s="30">
        <v>88</v>
      </c>
      <c r="C159" s="7">
        <v>16</v>
      </c>
      <c r="D159" s="68" t="s">
        <v>303</v>
      </c>
      <c r="E159" s="53">
        <v>18837.618299999998</v>
      </c>
      <c r="F159" s="53">
        <v>224943.2072</v>
      </c>
      <c r="G159" s="42">
        <v>748.35088106238697</v>
      </c>
      <c r="H159" s="42">
        <v>764.35088106238697</v>
      </c>
      <c r="I159" s="78">
        <f t="shared" si="3"/>
        <v>765.267881062387</v>
      </c>
      <c r="J159" t="s">
        <v>310</v>
      </c>
      <c r="K159" s="99">
        <v>0</v>
      </c>
      <c r="L159" t="s">
        <v>315</v>
      </c>
      <c r="M159" t="s">
        <v>317</v>
      </c>
      <c r="N159">
        <v>3000</v>
      </c>
      <c r="O159" t="s">
        <v>321</v>
      </c>
      <c r="P159" t="s">
        <v>479</v>
      </c>
    </row>
    <row r="160" spans="1:16" x14ac:dyDescent="0.3">
      <c r="A160" s="6" t="s">
        <v>157</v>
      </c>
      <c r="B160" s="30">
        <v>88</v>
      </c>
      <c r="C160" s="7">
        <v>16</v>
      </c>
      <c r="D160" s="68" t="s">
        <v>303</v>
      </c>
      <c r="E160" s="53">
        <v>18836.050200000001</v>
      </c>
      <c r="F160" s="53">
        <v>224941.21950000001</v>
      </c>
      <c r="G160" s="42">
        <v>748.36296941571402</v>
      </c>
      <c r="H160" s="42">
        <v>764.36296941571402</v>
      </c>
      <c r="I160" s="78">
        <f t="shared" si="3"/>
        <v>765.27996941571405</v>
      </c>
      <c r="J160" t="s">
        <v>310</v>
      </c>
      <c r="K160" s="99">
        <v>0</v>
      </c>
      <c r="L160" t="s">
        <v>315</v>
      </c>
      <c r="M160" t="s">
        <v>317</v>
      </c>
      <c r="N160">
        <v>3000</v>
      </c>
      <c r="O160" t="s">
        <v>321</v>
      </c>
      <c r="P160" t="s">
        <v>480</v>
      </c>
    </row>
    <row r="161" spans="1:16" x14ac:dyDescent="0.3">
      <c r="A161" s="6" t="s">
        <v>158</v>
      </c>
      <c r="B161" s="30">
        <v>88</v>
      </c>
      <c r="C161" s="7">
        <v>16</v>
      </c>
      <c r="D161" s="68" t="s">
        <v>303</v>
      </c>
      <c r="E161" s="53">
        <v>18834.117300000002</v>
      </c>
      <c r="F161" s="53">
        <v>224938.76749999999</v>
      </c>
      <c r="G161" s="42">
        <v>748.37809993139103</v>
      </c>
      <c r="H161" s="42">
        <v>764.37809993139103</v>
      </c>
      <c r="I161" s="78">
        <f t="shared" si="3"/>
        <v>765.29509993139106</v>
      </c>
      <c r="J161" t="s">
        <v>310</v>
      </c>
      <c r="K161" s="99">
        <v>0</v>
      </c>
      <c r="L161" t="s">
        <v>315</v>
      </c>
      <c r="M161" t="s">
        <v>317</v>
      </c>
      <c r="N161">
        <v>3000</v>
      </c>
      <c r="O161" t="s">
        <v>321</v>
      </c>
      <c r="P161" t="s">
        <v>481</v>
      </c>
    </row>
    <row r="162" spans="1:16" ht="15" thickBot="1" x14ac:dyDescent="0.35">
      <c r="A162" s="15" t="s">
        <v>159</v>
      </c>
      <c r="B162" s="38">
        <v>88</v>
      </c>
      <c r="C162" s="16">
        <v>16</v>
      </c>
      <c r="D162" s="73" t="s">
        <v>303</v>
      </c>
      <c r="E162" s="61">
        <v>18832.185399999998</v>
      </c>
      <c r="F162" s="61">
        <v>224936.31469999999</v>
      </c>
      <c r="G162" s="50">
        <v>748.393476887573</v>
      </c>
      <c r="H162" s="50">
        <v>764.393476887573</v>
      </c>
      <c r="I162" s="86">
        <f t="shared" si="3"/>
        <v>765.31047688757303</v>
      </c>
      <c r="J162" t="s">
        <v>310</v>
      </c>
      <c r="K162" s="99">
        <v>0</v>
      </c>
      <c r="L162" t="s">
        <v>315</v>
      </c>
      <c r="M162" t="s">
        <v>317</v>
      </c>
      <c r="N162">
        <v>3000</v>
      </c>
      <c r="O162" t="s">
        <v>321</v>
      </c>
      <c r="P162" t="s">
        <v>482</v>
      </c>
    </row>
    <row r="163" spans="1:16" ht="15" customHeight="1" x14ac:dyDescent="0.3">
      <c r="A163" s="25" t="s">
        <v>160</v>
      </c>
      <c r="B163" s="35">
        <v>88</v>
      </c>
      <c r="C163" s="26">
        <v>16</v>
      </c>
      <c r="D163" s="70" t="s">
        <v>303</v>
      </c>
      <c r="E163" s="58">
        <v>18830.23</v>
      </c>
      <c r="F163" s="58">
        <v>224933.82949999999</v>
      </c>
      <c r="G163" s="47">
        <v>748.40930218422</v>
      </c>
      <c r="H163" s="47">
        <v>764.40930218422</v>
      </c>
      <c r="I163" s="83">
        <f t="shared" si="3"/>
        <v>765.32630218422003</v>
      </c>
      <c r="J163" t="s">
        <v>310</v>
      </c>
      <c r="K163" s="99">
        <v>0</v>
      </c>
      <c r="L163" t="s">
        <v>315</v>
      </c>
      <c r="M163" t="s">
        <v>317</v>
      </c>
      <c r="N163">
        <v>3000</v>
      </c>
      <c r="O163" t="s">
        <v>321</v>
      </c>
      <c r="P163" t="s">
        <v>483</v>
      </c>
    </row>
    <row r="164" spans="1:16" x14ac:dyDescent="0.3">
      <c r="A164" s="21" t="s">
        <v>161</v>
      </c>
      <c r="B164" s="33">
        <v>88</v>
      </c>
      <c r="C164" s="22">
        <v>16</v>
      </c>
      <c r="D164" s="65" t="s">
        <v>303</v>
      </c>
      <c r="E164" s="56">
        <v>18828.454900000001</v>
      </c>
      <c r="F164" s="56">
        <v>224931.5716</v>
      </c>
      <c r="G164" s="45">
        <v>748.42389422389499</v>
      </c>
      <c r="H164" s="45">
        <v>764.42389422389499</v>
      </c>
      <c r="I164" s="81">
        <f t="shared" si="3"/>
        <v>765.34089422389502</v>
      </c>
      <c r="J164" t="s">
        <v>310</v>
      </c>
      <c r="K164" s="99">
        <v>0</v>
      </c>
      <c r="L164" t="s">
        <v>315</v>
      </c>
      <c r="M164" t="s">
        <v>317</v>
      </c>
      <c r="N164">
        <v>3000</v>
      </c>
      <c r="O164" t="s">
        <v>321</v>
      </c>
      <c r="P164" t="s">
        <v>484</v>
      </c>
    </row>
    <row r="165" spans="1:16" x14ac:dyDescent="0.3">
      <c r="A165" s="21" t="s">
        <v>162</v>
      </c>
      <c r="B165" s="33">
        <v>88</v>
      </c>
      <c r="C165" s="22">
        <v>16</v>
      </c>
      <c r="D165" s="65" t="s">
        <v>303</v>
      </c>
      <c r="E165" s="56">
        <v>18826.217400000001</v>
      </c>
      <c r="F165" s="56">
        <v>224928.72260000001</v>
      </c>
      <c r="G165" s="45">
        <v>748.44259690423098</v>
      </c>
      <c r="H165" s="45">
        <v>764.44259690423098</v>
      </c>
      <c r="I165" s="81">
        <f t="shared" si="3"/>
        <v>765.35959690423101</v>
      </c>
      <c r="J165" t="s">
        <v>310</v>
      </c>
      <c r="K165" s="99">
        <v>0</v>
      </c>
      <c r="L165" t="s">
        <v>315</v>
      </c>
      <c r="M165" t="s">
        <v>317</v>
      </c>
      <c r="N165">
        <v>3000</v>
      </c>
      <c r="O165" t="s">
        <v>321</v>
      </c>
      <c r="P165" t="s">
        <v>485</v>
      </c>
    </row>
    <row r="166" spans="1:16" x14ac:dyDescent="0.3">
      <c r="A166" s="21" t="s">
        <v>163</v>
      </c>
      <c r="B166" s="33">
        <v>88</v>
      </c>
      <c r="C166" s="22">
        <v>16</v>
      </c>
      <c r="D166" s="65" t="s">
        <v>303</v>
      </c>
      <c r="E166" s="56">
        <v>18824.4444</v>
      </c>
      <c r="F166" s="56">
        <v>224926.46309999999</v>
      </c>
      <c r="G166" s="45">
        <v>748.45766049580504</v>
      </c>
      <c r="H166" s="45">
        <v>764.45766049580504</v>
      </c>
      <c r="I166" s="81">
        <f t="shared" si="3"/>
        <v>765.37466049580507</v>
      </c>
      <c r="J166" t="s">
        <v>310</v>
      </c>
      <c r="K166" s="99">
        <v>0</v>
      </c>
      <c r="L166" t="s">
        <v>315</v>
      </c>
      <c r="M166" t="s">
        <v>317</v>
      </c>
      <c r="N166">
        <v>3000</v>
      </c>
      <c r="O166" t="s">
        <v>321</v>
      </c>
      <c r="P166" t="s">
        <v>486</v>
      </c>
    </row>
    <row r="167" spans="1:16" x14ac:dyDescent="0.3">
      <c r="A167" s="21" t="s">
        <v>164</v>
      </c>
      <c r="B167" s="33">
        <v>88</v>
      </c>
      <c r="C167" s="22">
        <v>16</v>
      </c>
      <c r="D167" s="65" t="s">
        <v>303</v>
      </c>
      <c r="E167" s="56">
        <v>18822.518100000001</v>
      </c>
      <c r="F167" s="56">
        <v>224924.00589999999</v>
      </c>
      <c r="G167" s="45">
        <v>748.47427281401303</v>
      </c>
      <c r="H167" s="45">
        <v>764.47427281401303</v>
      </c>
      <c r="I167" s="81">
        <f t="shared" si="3"/>
        <v>765.39127281401306</v>
      </c>
      <c r="J167" t="s">
        <v>310</v>
      </c>
      <c r="K167" s="99">
        <v>0</v>
      </c>
      <c r="L167" t="s">
        <v>315</v>
      </c>
      <c r="M167" t="s">
        <v>317</v>
      </c>
      <c r="N167">
        <v>3000</v>
      </c>
      <c r="O167" t="s">
        <v>321</v>
      </c>
      <c r="P167" t="s">
        <v>487</v>
      </c>
    </row>
    <row r="168" spans="1:16" x14ac:dyDescent="0.3">
      <c r="A168" s="21" t="s">
        <v>165</v>
      </c>
      <c r="B168" s="33">
        <v>88</v>
      </c>
      <c r="C168" s="22">
        <v>16</v>
      </c>
      <c r="D168" s="65" t="s">
        <v>303</v>
      </c>
      <c r="E168" s="56">
        <v>18820.5929</v>
      </c>
      <c r="F168" s="56">
        <v>224921.54790000001</v>
      </c>
      <c r="G168" s="45">
        <v>748.49113157272802</v>
      </c>
      <c r="H168" s="45">
        <v>764.491131572727</v>
      </c>
      <c r="I168" s="81">
        <f t="shared" si="3"/>
        <v>765.40813157272703</v>
      </c>
      <c r="J168" t="s">
        <v>310</v>
      </c>
      <c r="K168" s="99">
        <v>0</v>
      </c>
      <c r="L168" t="s">
        <v>315</v>
      </c>
      <c r="M168" t="s">
        <v>317</v>
      </c>
      <c r="N168">
        <v>3000</v>
      </c>
      <c r="O168" t="s">
        <v>321</v>
      </c>
      <c r="P168" t="s">
        <v>488</v>
      </c>
    </row>
    <row r="169" spans="1:16" x14ac:dyDescent="0.3">
      <c r="A169" s="21" t="s">
        <v>166</v>
      </c>
      <c r="B169" s="33">
        <v>88</v>
      </c>
      <c r="C169" s="22">
        <v>16</v>
      </c>
      <c r="D169" s="65" t="s">
        <v>303</v>
      </c>
      <c r="E169" s="56">
        <v>18818.668799999999</v>
      </c>
      <c r="F169" s="56">
        <v>224919.08900000001</v>
      </c>
      <c r="G169" s="45">
        <v>748.50823677194796</v>
      </c>
      <c r="H169" s="45">
        <v>764.50823677194796</v>
      </c>
      <c r="I169" s="81">
        <f t="shared" si="3"/>
        <v>765.42523677194799</v>
      </c>
      <c r="J169" t="s">
        <v>310</v>
      </c>
      <c r="K169" s="99">
        <v>0</v>
      </c>
      <c r="L169" t="s">
        <v>315</v>
      </c>
      <c r="M169" t="s">
        <v>317</v>
      </c>
      <c r="N169">
        <v>3000</v>
      </c>
      <c r="O169" t="s">
        <v>321</v>
      </c>
      <c r="P169" t="s">
        <v>489</v>
      </c>
    </row>
    <row r="170" spans="1:16" ht="15" thickBot="1" x14ac:dyDescent="0.35">
      <c r="A170" s="27" t="s">
        <v>167</v>
      </c>
      <c r="B170" s="36">
        <v>88</v>
      </c>
      <c r="C170" s="28">
        <v>16</v>
      </c>
      <c r="D170" s="71" t="s">
        <v>303</v>
      </c>
      <c r="E170" s="59">
        <v>18816.745699999999</v>
      </c>
      <c r="F170" s="59">
        <v>224916.6292</v>
      </c>
      <c r="G170" s="48">
        <v>748.52558841167502</v>
      </c>
      <c r="H170" s="48">
        <v>764.52558841167502</v>
      </c>
      <c r="I170" s="84">
        <f t="shared" si="3"/>
        <v>765.44258841167505</v>
      </c>
      <c r="J170" t="s">
        <v>310</v>
      </c>
      <c r="K170" s="99">
        <v>0</v>
      </c>
      <c r="L170" t="s">
        <v>315</v>
      </c>
      <c r="M170" t="s">
        <v>317</v>
      </c>
      <c r="N170">
        <v>3000</v>
      </c>
      <c r="O170" t="s">
        <v>321</v>
      </c>
      <c r="P170" t="s">
        <v>490</v>
      </c>
    </row>
    <row r="171" spans="1:16" ht="15" customHeight="1" x14ac:dyDescent="0.3">
      <c r="A171" s="13" t="s">
        <v>168</v>
      </c>
      <c r="B171" s="37">
        <v>88</v>
      </c>
      <c r="C171" s="14">
        <v>16</v>
      </c>
      <c r="D171" s="72" t="s">
        <v>303</v>
      </c>
      <c r="E171" s="60">
        <v>18814.7991</v>
      </c>
      <c r="F171" s="60">
        <v>224914.13709999999</v>
      </c>
      <c r="G171" s="49">
        <v>748.54341370832196</v>
      </c>
      <c r="H171" s="49">
        <v>764.54341370832196</v>
      </c>
      <c r="I171" s="85">
        <f t="shared" si="3"/>
        <v>765.46041370832199</v>
      </c>
      <c r="J171" t="s">
        <v>310</v>
      </c>
      <c r="K171" s="99">
        <v>0</v>
      </c>
      <c r="L171" t="s">
        <v>315</v>
      </c>
      <c r="M171" t="s">
        <v>317</v>
      </c>
      <c r="N171">
        <v>3000</v>
      </c>
      <c r="O171" t="s">
        <v>321</v>
      </c>
      <c r="P171" t="s">
        <v>491</v>
      </c>
    </row>
    <row r="172" spans="1:16" x14ac:dyDescent="0.3">
      <c r="A172" s="6" t="s">
        <v>169</v>
      </c>
      <c r="B172" s="30">
        <v>88</v>
      </c>
      <c r="C172" s="7">
        <v>16</v>
      </c>
      <c r="D172" s="68" t="s">
        <v>303</v>
      </c>
      <c r="E172" s="53">
        <v>18812.8783</v>
      </c>
      <c r="F172" s="53">
        <v>224911.67559999999</v>
      </c>
      <c r="G172" s="42">
        <v>748.56126138855495</v>
      </c>
      <c r="H172" s="42">
        <v>764.56126138855495</v>
      </c>
      <c r="I172" s="78">
        <f t="shared" si="3"/>
        <v>765.47826138855498</v>
      </c>
      <c r="J172" t="s">
        <v>310</v>
      </c>
      <c r="K172" s="99">
        <v>0</v>
      </c>
      <c r="L172" t="s">
        <v>315</v>
      </c>
      <c r="M172" t="s">
        <v>317</v>
      </c>
      <c r="N172">
        <v>3000</v>
      </c>
      <c r="O172" t="s">
        <v>321</v>
      </c>
      <c r="P172" t="s">
        <v>492</v>
      </c>
    </row>
    <row r="173" spans="1:16" x14ac:dyDescent="0.3">
      <c r="A173" s="6" t="s">
        <v>170</v>
      </c>
      <c r="B173" s="30">
        <v>88</v>
      </c>
      <c r="C173" s="7">
        <v>16</v>
      </c>
      <c r="D173" s="68" t="s">
        <v>303</v>
      </c>
      <c r="E173" s="53">
        <v>18810.958600000002</v>
      </c>
      <c r="F173" s="53">
        <v>224909.2132</v>
      </c>
      <c r="G173" s="42">
        <v>748.57935550929506</v>
      </c>
      <c r="H173" s="42">
        <v>764.57935550929506</v>
      </c>
      <c r="I173" s="78">
        <f t="shared" si="3"/>
        <v>765.49635550929509</v>
      </c>
      <c r="J173" t="s">
        <v>310</v>
      </c>
      <c r="K173" s="99">
        <v>0</v>
      </c>
      <c r="L173" t="s">
        <v>315</v>
      </c>
      <c r="M173" t="s">
        <v>317</v>
      </c>
      <c r="N173">
        <v>3000</v>
      </c>
      <c r="O173" t="s">
        <v>321</v>
      </c>
      <c r="P173" t="s">
        <v>493</v>
      </c>
    </row>
    <row r="174" spans="1:16" x14ac:dyDescent="0.3">
      <c r="A174" s="6" t="s">
        <v>171</v>
      </c>
      <c r="B174" s="30">
        <v>88</v>
      </c>
      <c r="C174" s="7">
        <v>16</v>
      </c>
      <c r="D174" s="68" t="s">
        <v>303</v>
      </c>
      <c r="E174" s="53">
        <v>18809.0399</v>
      </c>
      <c r="F174" s="53">
        <v>224906.7501</v>
      </c>
      <c r="G174" s="42">
        <v>748.59769607054102</v>
      </c>
      <c r="H174" s="42">
        <v>764.59769607054102</v>
      </c>
      <c r="I174" s="78">
        <f t="shared" si="3"/>
        <v>765.51469607054105</v>
      </c>
      <c r="J174" t="s">
        <v>310</v>
      </c>
      <c r="K174" s="99">
        <v>0</v>
      </c>
      <c r="L174" t="s">
        <v>315</v>
      </c>
      <c r="M174" t="s">
        <v>317</v>
      </c>
      <c r="N174">
        <v>3000</v>
      </c>
      <c r="O174" t="s">
        <v>321</v>
      </c>
      <c r="P174" t="s">
        <v>494</v>
      </c>
    </row>
    <row r="175" spans="1:16" x14ac:dyDescent="0.3">
      <c r="A175" s="6" t="s">
        <v>172</v>
      </c>
      <c r="B175" s="30">
        <v>88</v>
      </c>
      <c r="C175" s="7">
        <v>16</v>
      </c>
      <c r="D175" s="68" t="s">
        <v>303</v>
      </c>
      <c r="E175" s="53">
        <v>18807.1224</v>
      </c>
      <c r="F175" s="53">
        <v>224904.28599999999</v>
      </c>
      <c r="G175" s="42">
        <v>748.61628307229398</v>
      </c>
      <c r="H175" s="42">
        <v>764.61628307229398</v>
      </c>
      <c r="I175" s="78">
        <f t="shared" si="3"/>
        <v>765.53328307229401</v>
      </c>
      <c r="J175" t="s">
        <v>310</v>
      </c>
      <c r="K175" s="99">
        <v>0</v>
      </c>
      <c r="L175" t="s">
        <v>315</v>
      </c>
      <c r="M175" t="s">
        <v>317</v>
      </c>
      <c r="N175">
        <v>3000</v>
      </c>
      <c r="O175" t="s">
        <v>321</v>
      </c>
      <c r="P175" t="s">
        <v>495</v>
      </c>
    </row>
    <row r="176" spans="1:16" x14ac:dyDescent="0.3">
      <c r="A176" s="6" t="s">
        <v>173</v>
      </c>
      <c r="B176" s="30">
        <v>88</v>
      </c>
      <c r="C176" s="7">
        <v>16</v>
      </c>
      <c r="D176" s="68" t="s">
        <v>303</v>
      </c>
      <c r="E176" s="53">
        <v>18805.205999999998</v>
      </c>
      <c r="F176" s="53">
        <v>224901.8211</v>
      </c>
      <c r="G176" s="42">
        <v>748.63511651455303</v>
      </c>
      <c r="H176" s="42">
        <v>764.63511651455201</v>
      </c>
      <c r="I176" s="78">
        <f t="shared" si="3"/>
        <v>765.55211651455204</v>
      </c>
      <c r="J176" t="s">
        <v>310</v>
      </c>
      <c r="K176" s="99">
        <v>0</v>
      </c>
      <c r="L176" t="s">
        <v>315</v>
      </c>
      <c r="M176" t="s">
        <v>317</v>
      </c>
      <c r="N176">
        <v>3000</v>
      </c>
      <c r="O176" t="s">
        <v>321</v>
      </c>
      <c r="P176" t="s">
        <v>496</v>
      </c>
    </row>
    <row r="177" spans="1:16" x14ac:dyDescent="0.3">
      <c r="A177" s="6" t="s">
        <v>174</v>
      </c>
      <c r="B177" s="30">
        <v>88</v>
      </c>
      <c r="C177" s="7">
        <v>16</v>
      </c>
      <c r="D177" s="68" t="s">
        <v>303</v>
      </c>
      <c r="E177" s="53">
        <v>18803.2906</v>
      </c>
      <c r="F177" s="53">
        <v>224899.3554</v>
      </c>
      <c r="G177" s="42">
        <v>748.65419639731795</v>
      </c>
      <c r="H177" s="42">
        <v>764.65419639731795</v>
      </c>
      <c r="I177" s="78">
        <f t="shared" si="3"/>
        <v>765.57119639731798</v>
      </c>
      <c r="J177" t="s">
        <v>310</v>
      </c>
      <c r="K177" s="99">
        <v>0</v>
      </c>
      <c r="L177" t="s">
        <v>315</v>
      </c>
      <c r="M177" t="s">
        <v>317</v>
      </c>
      <c r="N177">
        <v>3000</v>
      </c>
      <c r="O177" t="s">
        <v>321</v>
      </c>
      <c r="P177" t="s">
        <v>497</v>
      </c>
    </row>
    <row r="178" spans="1:16" ht="15" thickBot="1" x14ac:dyDescent="0.35">
      <c r="A178" s="15" t="s">
        <v>175</v>
      </c>
      <c r="B178" s="38">
        <v>88</v>
      </c>
      <c r="C178" s="16">
        <v>16</v>
      </c>
      <c r="D178" s="73" t="s">
        <v>303</v>
      </c>
      <c r="E178" s="61">
        <v>18801.376400000001</v>
      </c>
      <c r="F178" s="61">
        <v>224896.88879999999</v>
      </c>
      <c r="G178" s="50">
        <v>748.67352272058895</v>
      </c>
      <c r="H178" s="50">
        <v>764.67352272058895</v>
      </c>
      <c r="I178" s="86">
        <f t="shared" si="3"/>
        <v>765.59052272058898</v>
      </c>
      <c r="J178" t="s">
        <v>310</v>
      </c>
      <c r="K178" s="99">
        <v>0</v>
      </c>
      <c r="L178" t="s">
        <v>315</v>
      </c>
      <c r="M178" t="s">
        <v>317</v>
      </c>
      <c r="N178">
        <v>3000</v>
      </c>
      <c r="O178" t="s">
        <v>321</v>
      </c>
      <c r="P178" t="s">
        <v>498</v>
      </c>
    </row>
    <row r="179" spans="1:16" ht="15" customHeight="1" x14ac:dyDescent="0.3">
      <c r="A179" s="25" t="s">
        <v>176</v>
      </c>
      <c r="B179" s="35">
        <v>88</v>
      </c>
      <c r="C179" s="26">
        <v>16</v>
      </c>
      <c r="D179" s="70" t="s">
        <v>303</v>
      </c>
      <c r="E179" s="58">
        <v>18799.438699999999</v>
      </c>
      <c r="F179" s="58">
        <v>224894.3897</v>
      </c>
      <c r="G179" s="47">
        <v>748.69334801723596</v>
      </c>
      <c r="H179" s="47">
        <v>764.69334801723596</v>
      </c>
      <c r="I179" s="83">
        <f t="shared" si="3"/>
        <v>765.61034801723599</v>
      </c>
      <c r="J179" t="s">
        <v>310</v>
      </c>
      <c r="K179" s="99">
        <v>0</v>
      </c>
      <c r="L179" t="s">
        <v>315</v>
      </c>
      <c r="M179" t="s">
        <v>317</v>
      </c>
      <c r="N179">
        <v>3000</v>
      </c>
      <c r="O179" t="s">
        <v>321</v>
      </c>
      <c r="P179" t="s">
        <v>499</v>
      </c>
    </row>
    <row r="180" spans="1:16" x14ac:dyDescent="0.3">
      <c r="A180" s="21" t="s">
        <v>177</v>
      </c>
      <c r="B180" s="33">
        <v>88</v>
      </c>
      <c r="C180" s="22">
        <v>16</v>
      </c>
      <c r="D180" s="65" t="s">
        <v>303</v>
      </c>
      <c r="E180" s="56">
        <v>18797.526699999999</v>
      </c>
      <c r="F180" s="56">
        <v>224891.92139999999</v>
      </c>
      <c r="G180" s="45">
        <v>748.71317038101404</v>
      </c>
      <c r="H180" s="45">
        <v>764.71317038101404</v>
      </c>
      <c r="I180" s="81">
        <f t="shared" si="3"/>
        <v>765.63017038101407</v>
      </c>
      <c r="J180" t="s">
        <v>310</v>
      </c>
      <c r="K180" s="99">
        <v>0</v>
      </c>
      <c r="L180" t="s">
        <v>315</v>
      </c>
      <c r="M180" t="s">
        <v>317</v>
      </c>
      <c r="N180">
        <v>3000</v>
      </c>
      <c r="O180" t="s">
        <v>321</v>
      </c>
      <c r="P180" t="s">
        <v>500</v>
      </c>
    </row>
    <row r="181" spans="1:16" x14ac:dyDescent="0.3">
      <c r="A181" s="21" t="s">
        <v>178</v>
      </c>
      <c r="B181" s="33">
        <v>88</v>
      </c>
      <c r="C181" s="22">
        <v>16</v>
      </c>
      <c r="D181" s="65" t="s">
        <v>303</v>
      </c>
      <c r="E181" s="56">
        <v>18795.6158</v>
      </c>
      <c r="F181" s="56">
        <v>224889.4522</v>
      </c>
      <c r="G181" s="45">
        <v>748.73323918529798</v>
      </c>
      <c r="H181" s="45">
        <v>764.73323918529798</v>
      </c>
      <c r="I181" s="81">
        <f t="shared" si="3"/>
        <v>765.65023918529801</v>
      </c>
      <c r="J181" t="s">
        <v>310</v>
      </c>
      <c r="K181" s="99">
        <v>0</v>
      </c>
      <c r="L181" t="s">
        <v>315</v>
      </c>
      <c r="M181" t="s">
        <v>317</v>
      </c>
      <c r="N181">
        <v>3000</v>
      </c>
      <c r="O181" t="s">
        <v>321</v>
      </c>
      <c r="P181" t="s">
        <v>501</v>
      </c>
    </row>
    <row r="182" spans="1:16" x14ac:dyDescent="0.3">
      <c r="A182" s="21" t="s">
        <v>179</v>
      </c>
      <c r="B182" s="33">
        <v>88</v>
      </c>
      <c r="C182" s="22">
        <v>16</v>
      </c>
      <c r="D182" s="65" t="s">
        <v>303</v>
      </c>
      <c r="E182" s="56">
        <v>18793.705999999998</v>
      </c>
      <c r="F182" s="56">
        <v>224886.9822</v>
      </c>
      <c r="G182" s="45">
        <v>748.75355443008903</v>
      </c>
      <c r="H182" s="45">
        <v>764.75355443008903</v>
      </c>
      <c r="I182" s="81">
        <f t="shared" si="3"/>
        <v>765.67055443008906</v>
      </c>
      <c r="J182" t="s">
        <v>310</v>
      </c>
      <c r="K182" s="99">
        <v>0</v>
      </c>
      <c r="L182" t="s">
        <v>315</v>
      </c>
      <c r="M182" t="s">
        <v>317</v>
      </c>
      <c r="N182">
        <v>3000</v>
      </c>
      <c r="O182" t="s">
        <v>321</v>
      </c>
      <c r="P182" t="s">
        <v>502</v>
      </c>
    </row>
    <row r="183" spans="1:16" x14ac:dyDescent="0.3">
      <c r="A183" s="21" t="s">
        <v>180</v>
      </c>
      <c r="B183" s="33">
        <v>88</v>
      </c>
      <c r="C183" s="22">
        <v>16</v>
      </c>
      <c r="D183" s="65" t="s">
        <v>303</v>
      </c>
      <c r="E183" s="56">
        <v>18791.797200000001</v>
      </c>
      <c r="F183" s="56">
        <v>224884.51130000001</v>
      </c>
      <c r="G183" s="45">
        <v>748.77411611538503</v>
      </c>
      <c r="H183" s="45">
        <v>764.77411611538503</v>
      </c>
      <c r="I183" s="81">
        <f t="shared" si="3"/>
        <v>765.69111611538506</v>
      </c>
      <c r="J183" t="s">
        <v>310</v>
      </c>
      <c r="K183" s="99">
        <v>0</v>
      </c>
      <c r="L183" t="s">
        <v>315</v>
      </c>
      <c r="M183" t="s">
        <v>317</v>
      </c>
      <c r="N183">
        <v>3000</v>
      </c>
      <c r="O183" t="s">
        <v>321</v>
      </c>
      <c r="P183" t="s">
        <v>503</v>
      </c>
    </row>
    <row r="184" spans="1:16" x14ac:dyDescent="0.3">
      <c r="A184" s="21" t="s">
        <v>181</v>
      </c>
      <c r="B184" s="33">
        <v>88</v>
      </c>
      <c r="C184" s="22">
        <v>16</v>
      </c>
      <c r="D184" s="65" t="s">
        <v>303</v>
      </c>
      <c r="E184" s="56">
        <v>18789.889599999999</v>
      </c>
      <c r="F184" s="56">
        <v>224882.03959999999</v>
      </c>
      <c r="G184" s="45">
        <v>748.79492424118905</v>
      </c>
      <c r="H184" s="45">
        <v>764.79492424118905</v>
      </c>
      <c r="I184" s="81">
        <f t="shared" si="3"/>
        <v>765.71192424118908</v>
      </c>
      <c r="J184" t="s">
        <v>310</v>
      </c>
      <c r="K184" s="99">
        <v>0</v>
      </c>
      <c r="L184" t="s">
        <v>315</v>
      </c>
      <c r="M184" t="s">
        <v>317</v>
      </c>
      <c r="N184">
        <v>3000</v>
      </c>
      <c r="O184" t="s">
        <v>321</v>
      </c>
      <c r="P184" t="s">
        <v>504</v>
      </c>
    </row>
    <row r="185" spans="1:16" x14ac:dyDescent="0.3">
      <c r="A185" s="21" t="s">
        <v>182</v>
      </c>
      <c r="B185" s="33">
        <v>88</v>
      </c>
      <c r="C185" s="22">
        <v>16</v>
      </c>
      <c r="D185" s="65" t="s">
        <v>303</v>
      </c>
      <c r="E185" s="56">
        <v>18787.983100000001</v>
      </c>
      <c r="F185" s="56">
        <v>224879.56700000001</v>
      </c>
      <c r="G185" s="45">
        <v>748.81597880749803</v>
      </c>
      <c r="H185" s="45">
        <v>764.81597880749803</v>
      </c>
      <c r="I185" s="81">
        <f t="shared" si="3"/>
        <v>765.73297880749806</v>
      </c>
      <c r="J185" t="s">
        <v>310</v>
      </c>
      <c r="K185" s="99">
        <v>0</v>
      </c>
      <c r="L185" t="s">
        <v>315</v>
      </c>
      <c r="M185" t="s">
        <v>317</v>
      </c>
      <c r="N185">
        <v>3000</v>
      </c>
      <c r="O185" t="s">
        <v>321</v>
      </c>
      <c r="P185" t="s">
        <v>505</v>
      </c>
    </row>
    <row r="186" spans="1:16" ht="15" thickBot="1" x14ac:dyDescent="0.35">
      <c r="A186" s="27" t="s">
        <v>183</v>
      </c>
      <c r="B186" s="36">
        <v>88</v>
      </c>
      <c r="C186" s="28">
        <v>16</v>
      </c>
      <c r="D186" s="71" t="s">
        <v>303</v>
      </c>
      <c r="E186" s="59">
        <v>18786.077700000002</v>
      </c>
      <c r="F186" s="59">
        <v>224877.09359999999</v>
      </c>
      <c r="G186" s="48">
        <v>748.837279814314</v>
      </c>
      <c r="H186" s="48">
        <v>764.837279814314</v>
      </c>
      <c r="I186" s="84">
        <f t="shared" si="3"/>
        <v>765.75427981431403</v>
      </c>
      <c r="J186" t="s">
        <v>310</v>
      </c>
      <c r="K186" s="99">
        <v>0</v>
      </c>
      <c r="L186" t="s">
        <v>315</v>
      </c>
      <c r="M186" t="s">
        <v>317</v>
      </c>
      <c r="N186">
        <v>3000</v>
      </c>
      <c r="O186" t="s">
        <v>321</v>
      </c>
      <c r="P186" t="s">
        <v>506</v>
      </c>
    </row>
    <row r="187" spans="1:16" ht="15" customHeight="1" x14ac:dyDescent="0.3">
      <c r="A187" s="13" t="s">
        <v>184</v>
      </c>
      <c r="B187" s="37">
        <v>88</v>
      </c>
      <c r="C187" s="14">
        <v>18</v>
      </c>
      <c r="D187" s="72" t="s">
        <v>303</v>
      </c>
      <c r="E187" s="60">
        <v>18784.1489</v>
      </c>
      <c r="F187" s="60">
        <v>224874.5876</v>
      </c>
      <c r="G187" s="49">
        <v>746.85910511096097</v>
      </c>
      <c r="H187" s="49">
        <v>764.85910511096097</v>
      </c>
      <c r="I187" s="85">
        <f t="shared" si="3"/>
        <v>765.776105110961</v>
      </c>
      <c r="J187" t="s">
        <v>310</v>
      </c>
      <c r="K187" s="99">
        <v>0</v>
      </c>
      <c r="L187" t="s">
        <v>315</v>
      </c>
      <c r="M187" t="s">
        <v>317</v>
      </c>
      <c r="N187">
        <v>3000</v>
      </c>
      <c r="O187" t="s">
        <v>321</v>
      </c>
      <c r="P187" t="s">
        <v>507</v>
      </c>
    </row>
    <row r="188" spans="1:16" x14ac:dyDescent="0.3">
      <c r="A188" s="6" t="s">
        <v>185</v>
      </c>
      <c r="B188" s="30">
        <v>88</v>
      </c>
      <c r="C188" s="7">
        <v>18</v>
      </c>
      <c r="D188" s="68" t="s">
        <v>303</v>
      </c>
      <c r="E188" s="53">
        <v>18782.245699999999</v>
      </c>
      <c r="F188" s="53">
        <v>224872.11240000001</v>
      </c>
      <c r="G188" s="42">
        <v>746.88090215828402</v>
      </c>
      <c r="H188" s="42">
        <v>764.88090215828402</v>
      </c>
      <c r="I188" s="78">
        <f t="shared" si="3"/>
        <v>765.79790215828405</v>
      </c>
      <c r="J188" t="s">
        <v>310</v>
      </c>
      <c r="K188" s="99">
        <v>0</v>
      </c>
      <c r="L188" t="s">
        <v>315</v>
      </c>
      <c r="M188" t="s">
        <v>317</v>
      </c>
      <c r="N188">
        <v>3000</v>
      </c>
      <c r="O188" t="s">
        <v>321</v>
      </c>
      <c r="P188" t="s">
        <v>508</v>
      </c>
    </row>
    <row r="189" spans="1:16" x14ac:dyDescent="0.3">
      <c r="A189" s="6" t="s">
        <v>186</v>
      </c>
      <c r="B189" s="30">
        <v>88</v>
      </c>
      <c r="C189" s="7">
        <v>18</v>
      </c>
      <c r="D189" s="68" t="s">
        <v>303</v>
      </c>
      <c r="E189" s="53">
        <v>18780.343700000001</v>
      </c>
      <c r="F189" s="53">
        <v>224869.63639999999</v>
      </c>
      <c r="G189" s="42">
        <v>746.90294564611202</v>
      </c>
      <c r="H189" s="42">
        <v>764.90294564611304</v>
      </c>
      <c r="I189" s="78">
        <f t="shared" si="3"/>
        <v>765.81994564611307</v>
      </c>
      <c r="J189" t="s">
        <v>310</v>
      </c>
      <c r="K189" s="99">
        <v>0</v>
      </c>
      <c r="L189" t="s">
        <v>315</v>
      </c>
      <c r="M189" t="s">
        <v>317</v>
      </c>
      <c r="N189">
        <v>3000</v>
      </c>
      <c r="O189" t="s">
        <v>321</v>
      </c>
      <c r="P189" t="s">
        <v>509</v>
      </c>
    </row>
    <row r="190" spans="1:16" x14ac:dyDescent="0.3">
      <c r="A190" s="6" t="s">
        <v>187</v>
      </c>
      <c r="B190" s="30">
        <v>88</v>
      </c>
      <c r="C190" s="7">
        <v>18</v>
      </c>
      <c r="D190" s="68" t="s">
        <v>303</v>
      </c>
      <c r="E190" s="53">
        <v>18778.802100000001</v>
      </c>
      <c r="F190" s="53">
        <v>224867.628</v>
      </c>
      <c r="G190" s="42">
        <v>746.92100159690904</v>
      </c>
      <c r="H190" s="42">
        <v>764.92100159690904</v>
      </c>
      <c r="I190" s="78">
        <f t="shared" si="3"/>
        <v>765.83800159690907</v>
      </c>
      <c r="J190" t="s">
        <v>310</v>
      </c>
      <c r="K190" s="99">
        <v>0</v>
      </c>
      <c r="L190" t="s">
        <v>315</v>
      </c>
      <c r="M190" t="s">
        <v>317</v>
      </c>
      <c r="N190">
        <v>3000</v>
      </c>
      <c r="O190" t="s">
        <v>321</v>
      </c>
      <c r="P190" t="s">
        <v>510</v>
      </c>
    </row>
    <row r="191" spans="1:16" x14ac:dyDescent="0.3">
      <c r="A191" s="6" t="s">
        <v>188</v>
      </c>
      <c r="B191" s="30">
        <v>88</v>
      </c>
      <c r="C191" s="7">
        <v>18</v>
      </c>
      <c r="D191" s="68" t="s">
        <v>303</v>
      </c>
      <c r="E191" s="53">
        <v>18776.1836</v>
      </c>
      <c r="F191" s="53">
        <v>224864.2133</v>
      </c>
      <c r="G191" s="42">
        <v>746.95206133601698</v>
      </c>
      <c r="H191" s="42">
        <v>764.95206133601698</v>
      </c>
      <c r="I191" s="78">
        <f t="shared" si="3"/>
        <v>765.86906133601701</v>
      </c>
      <c r="J191" t="s">
        <v>310</v>
      </c>
      <c r="K191" s="99">
        <v>0</v>
      </c>
      <c r="L191" t="s">
        <v>315</v>
      </c>
      <c r="M191" t="s">
        <v>317</v>
      </c>
      <c r="N191">
        <v>3000</v>
      </c>
      <c r="O191" t="s">
        <v>321</v>
      </c>
      <c r="P191" t="s">
        <v>511</v>
      </c>
    </row>
    <row r="192" spans="1:16" x14ac:dyDescent="0.3">
      <c r="A192" s="6" t="s">
        <v>189</v>
      </c>
      <c r="B192" s="30">
        <v>88</v>
      </c>
      <c r="C192" s="7">
        <v>18</v>
      </c>
      <c r="D192" s="68" t="s">
        <v>303</v>
      </c>
      <c r="E192" s="53">
        <v>18774.783899999999</v>
      </c>
      <c r="F192" s="53">
        <v>224862.38620000001</v>
      </c>
      <c r="G192" s="42">
        <v>746.968866836742</v>
      </c>
      <c r="H192" s="42">
        <v>764.968866836742</v>
      </c>
      <c r="I192" s="78">
        <f t="shared" si="3"/>
        <v>765.88586683674203</v>
      </c>
      <c r="J192" t="s">
        <v>310</v>
      </c>
      <c r="K192" s="99">
        <v>0</v>
      </c>
      <c r="L192" t="s">
        <v>315</v>
      </c>
      <c r="M192" t="s">
        <v>317</v>
      </c>
      <c r="N192">
        <v>3000</v>
      </c>
      <c r="O192" t="s">
        <v>321</v>
      </c>
      <c r="P192" t="s">
        <v>512</v>
      </c>
    </row>
    <row r="193" spans="1:16" x14ac:dyDescent="0.3">
      <c r="A193" s="6" t="s">
        <v>190</v>
      </c>
      <c r="B193" s="30">
        <v>88</v>
      </c>
      <c r="C193" s="7">
        <v>18</v>
      </c>
      <c r="D193" s="68" t="s">
        <v>303</v>
      </c>
      <c r="E193" s="53">
        <v>18772.5821</v>
      </c>
      <c r="F193" s="53">
        <v>224859.50940000001</v>
      </c>
      <c r="G193" s="42">
        <v>746.99558850441997</v>
      </c>
      <c r="H193" s="42">
        <v>764.99558850441997</v>
      </c>
      <c r="I193" s="78">
        <f t="shared" si="3"/>
        <v>765.91258850442</v>
      </c>
      <c r="J193" t="s">
        <v>310</v>
      </c>
      <c r="K193" s="99">
        <v>0</v>
      </c>
      <c r="L193" t="s">
        <v>315</v>
      </c>
      <c r="M193" t="s">
        <v>317</v>
      </c>
      <c r="N193">
        <v>3000</v>
      </c>
      <c r="O193" t="s">
        <v>321</v>
      </c>
      <c r="P193" t="s">
        <v>513</v>
      </c>
    </row>
    <row r="194" spans="1:16" ht="15" thickBot="1" x14ac:dyDescent="0.35">
      <c r="A194" s="15" t="s">
        <v>191</v>
      </c>
      <c r="B194" s="38">
        <v>88</v>
      </c>
      <c r="C194" s="16">
        <v>18</v>
      </c>
      <c r="D194" s="73" t="s">
        <v>303</v>
      </c>
      <c r="E194" s="61">
        <v>18770.849699999999</v>
      </c>
      <c r="F194" s="61">
        <v>224857.2438</v>
      </c>
      <c r="G194" s="50">
        <v>747.01685969285097</v>
      </c>
      <c r="H194" s="50">
        <v>765.01685969285097</v>
      </c>
      <c r="I194" s="86">
        <f t="shared" si="3"/>
        <v>765.933859692851</v>
      </c>
      <c r="J194" t="s">
        <v>310</v>
      </c>
      <c r="K194" s="99">
        <v>0</v>
      </c>
      <c r="L194" t="s">
        <v>315</v>
      </c>
      <c r="M194" t="s">
        <v>317</v>
      </c>
      <c r="N194">
        <v>3000</v>
      </c>
      <c r="O194" t="s">
        <v>321</v>
      </c>
      <c r="P194" t="s">
        <v>514</v>
      </c>
    </row>
    <row r="195" spans="1:16" ht="15" customHeight="1" x14ac:dyDescent="0.3">
      <c r="A195" s="25" t="s">
        <v>192</v>
      </c>
      <c r="B195" s="35">
        <v>88</v>
      </c>
      <c r="C195" s="26">
        <v>18</v>
      </c>
      <c r="D195" s="70" t="s">
        <v>303</v>
      </c>
      <c r="E195" s="58">
        <v>18768.93</v>
      </c>
      <c r="F195" s="58">
        <v>224854.731</v>
      </c>
      <c r="G195" s="47">
        <v>745.940684989499</v>
      </c>
      <c r="H195" s="47">
        <v>763.940684989499</v>
      </c>
      <c r="I195" s="83">
        <f>H195+2.017</f>
        <v>765.95768498949906</v>
      </c>
      <c r="J195" t="s">
        <v>310</v>
      </c>
      <c r="K195" s="99">
        <v>0</v>
      </c>
      <c r="L195" t="s">
        <v>315</v>
      </c>
      <c r="M195" t="s">
        <v>317</v>
      </c>
      <c r="N195">
        <v>3000</v>
      </c>
      <c r="O195" t="s">
        <v>321</v>
      </c>
      <c r="P195" t="s">
        <v>515</v>
      </c>
    </row>
    <row r="196" spans="1:16" x14ac:dyDescent="0.3">
      <c r="A196" s="21" t="s">
        <v>193</v>
      </c>
      <c r="B196" s="33">
        <v>88</v>
      </c>
      <c r="C196" s="22">
        <v>18</v>
      </c>
      <c r="D196" s="65" t="s">
        <v>303</v>
      </c>
      <c r="E196" s="56">
        <v>18766.580399999999</v>
      </c>
      <c r="F196" s="56">
        <v>224851.65229999999</v>
      </c>
      <c r="G196" s="45">
        <v>745.97020781925301</v>
      </c>
      <c r="H196" s="45">
        <v>763.97020781925301</v>
      </c>
      <c r="I196" s="81">
        <f t="shared" ref="I196:I202" si="4">H196+2.017</f>
        <v>765.98720781925306</v>
      </c>
      <c r="J196" t="s">
        <v>310</v>
      </c>
      <c r="K196" s="99">
        <v>0</v>
      </c>
      <c r="L196" t="s">
        <v>315</v>
      </c>
      <c r="M196" t="s">
        <v>317</v>
      </c>
      <c r="N196">
        <v>3000</v>
      </c>
      <c r="O196" t="s">
        <v>321</v>
      </c>
      <c r="P196" t="s">
        <v>516</v>
      </c>
    </row>
    <row r="197" spans="1:16" x14ac:dyDescent="0.3">
      <c r="A197" s="21" t="s">
        <v>194</v>
      </c>
      <c r="B197" s="33">
        <v>88</v>
      </c>
      <c r="C197" s="22">
        <v>18</v>
      </c>
      <c r="D197" s="65" t="s">
        <v>303</v>
      </c>
      <c r="E197" s="56">
        <v>18765.215199999999</v>
      </c>
      <c r="F197" s="56">
        <v>224849.86180000001</v>
      </c>
      <c r="G197" s="45">
        <v>745.98754655895402</v>
      </c>
      <c r="H197" s="45">
        <v>763.98754655895402</v>
      </c>
      <c r="I197" s="81">
        <f t="shared" si="4"/>
        <v>766.00454655895408</v>
      </c>
      <c r="J197" t="s">
        <v>310</v>
      </c>
      <c r="K197" s="99">
        <v>0</v>
      </c>
      <c r="L197" t="s">
        <v>315</v>
      </c>
      <c r="M197" t="s">
        <v>317</v>
      </c>
      <c r="N197">
        <v>3000</v>
      </c>
      <c r="O197" t="s">
        <v>321</v>
      </c>
      <c r="P197" t="s">
        <v>517</v>
      </c>
    </row>
    <row r="198" spans="1:16" x14ac:dyDescent="0.3">
      <c r="A198" s="21" t="s">
        <v>195</v>
      </c>
      <c r="B198" s="33">
        <v>88</v>
      </c>
      <c r="C198" s="22">
        <v>18</v>
      </c>
      <c r="D198" s="65" t="s">
        <v>303</v>
      </c>
      <c r="E198" s="56">
        <v>18763.8505</v>
      </c>
      <c r="F198" s="56">
        <v>224848.07079999999</v>
      </c>
      <c r="G198" s="45">
        <v>746.005013463213</v>
      </c>
      <c r="H198" s="45">
        <v>764.005013463213</v>
      </c>
      <c r="I198" s="81">
        <f t="shared" si="4"/>
        <v>766.02201346321306</v>
      </c>
      <c r="J198" t="s">
        <v>310</v>
      </c>
      <c r="K198" s="99">
        <v>0</v>
      </c>
      <c r="L198" t="s">
        <v>315</v>
      </c>
      <c r="M198" t="s">
        <v>317</v>
      </c>
      <c r="N198">
        <v>3000</v>
      </c>
      <c r="O198" t="s">
        <v>321</v>
      </c>
      <c r="P198" t="s">
        <v>518</v>
      </c>
    </row>
    <row r="199" spans="1:16" x14ac:dyDescent="0.3">
      <c r="A199" s="21" t="s">
        <v>196</v>
      </c>
      <c r="B199" s="33">
        <v>88</v>
      </c>
      <c r="C199" s="22">
        <v>18</v>
      </c>
      <c r="D199" s="65" t="s">
        <v>303</v>
      </c>
      <c r="E199" s="56">
        <v>18760.759399999999</v>
      </c>
      <c r="F199" s="56">
        <v>224844.0097</v>
      </c>
      <c r="G199" s="45">
        <v>746.04507960653598</v>
      </c>
      <c r="H199" s="45">
        <v>764.04507960653598</v>
      </c>
      <c r="I199" s="81">
        <f t="shared" si="4"/>
        <v>766.06207960653603</v>
      </c>
      <c r="J199" t="s">
        <v>310</v>
      </c>
      <c r="K199" s="99">
        <v>0</v>
      </c>
      <c r="L199" t="s">
        <v>315</v>
      </c>
      <c r="M199" t="s">
        <v>317</v>
      </c>
      <c r="N199">
        <v>3000</v>
      </c>
      <c r="O199" t="s">
        <v>321</v>
      </c>
      <c r="P199" t="s">
        <v>519</v>
      </c>
    </row>
    <row r="200" spans="1:16" x14ac:dyDescent="0.3">
      <c r="A200" s="21" t="s">
        <v>197</v>
      </c>
      <c r="B200" s="33">
        <v>88</v>
      </c>
      <c r="C200" s="22">
        <v>18</v>
      </c>
      <c r="D200" s="65" t="s">
        <v>303</v>
      </c>
      <c r="E200" s="56">
        <v>18759.3966</v>
      </c>
      <c r="F200" s="56">
        <v>224842.21729999999</v>
      </c>
      <c r="G200" s="45">
        <v>746.06296518168006</v>
      </c>
      <c r="H200" s="45">
        <v>764.06296518168006</v>
      </c>
      <c r="I200" s="81">
        <f t="shared" si="4"/>
        <v>766.07996518168011</v>
      </c>
      <c r="J200" t="s">
        <v>310</v>
      </c>
      <c r="K200" s="99">
        <v>0</v>
      </c>
      <c r="L200" t="s">
        <v>315</v>
      </c>
      <c r="M200" t="s">
        <v>317</v>
      </c>
      <c r="N200">
        <v>3000</v>
      </c>
      <c r="O200" t="s">
        <v>321</v>
      </c>
      <c r="P200" t="s">
        <v>520</v>
      </c>
    </row>
    <row r="201" spans="1:16" x14ac:dyDescent="0.3">
      <c r="A201" s="21" t="s">
        <v>198</v>
      </c>
      <c r="B201" s="33">
        <v>88</v>
      </c>
      <c r="C201" s="22">
        <v>18</v>
      </c>
      <c r="D201" s="65" t="s">
        <v>303</v>
      </c>
      <c r="E201" s="56">
        <v>18758.0344</v>
      </c>
      <c r="F201" s="56">
        <v>224840.42449999999</v>
      </c>
      <c r="G201" s="45">
        <v>746.08097892138198</v>
      </c>
      <c r="H201" s="45">
        <v>764.08097892138198</v>
      </c>
      <c r="I201" s="81">
        <f t="shared" si="4"/>
        <v>766.09797892138204</v>
      </c>
      <c r="J201" t="s">
        <v>310</v>
      </c>
      <c r="K201" s="99">
        <v>0</v>
      </c>
      <c r="L201" t="s">
        <v>315</v>
      </c>
      <c r="M201" t="s">
        <v>317</v>
      </c>
      <c r="N201">
        <v>3000</v>
      </c>
      <c r="O201" t="s">
        <v>321</v>
      </c>
      <c r="P201" t="s">
        <v>521</v>
      </c>
    </row>
    <row r="202" spans="1:16" ht="15" thickBot="1" x14ac:dyDescent="0.35">
      <c r="A202" s="27" t="s">
        <v>199</v>
      </c>
      <c r="B202" s="36">
        <v>88</v>
      </c>
      <c r="C202" s="28">
        <v>18</v>
      </c>
      <c r="D202" s="71" t="s">
        <v>303</v>
      </c>
      <c r="E202" s="59">
        <v>18755.692800000001</v>
      </c>
      <c r="F202" s="59">
        <v>224837.33979999999</v>
      </c>
      <c r="G202" s="48">
        <v>746.11226235619995</v>
      </c>
      <c r="H202" s="48">
        <v>764.11226235619995</v>
      </c>
      <c r="I202" s="84">
        <f t="shared" si="4"/>
        <v>766.1292623562</v>
      </c>
      <c r="J202" t="s">
        <v>310</v>
      </c>
      <c r="K202" s="99">
        <v>0</v>
      </c>
      <c r="L202" t="s">
        <v>315</v>
      </c>
      <c r="M202" t="s">
        <v>317</v>
      </c>
      <c r="N202">
        <v>3000</v>
      </c>
      <c r="O202" t="s">
        <v>321</v>
      </c>
      <c r="P202" t="s">
        <v>522</v>
      </c>
    </row>
    <row r="203" spans="1:16" ht="15" customHeight="1" x14ac:dyDescent="0.3">
      <c r="A203" s="13" t="s">
        <v>200</v>
      </c>
      <c r="B203" s="37">
        <v>88</v>
      </c>
      <c r="C203" s="14">
        <v>20</v>
      </c>
      <c r="D203" s="72" t="s">
        <v>303</v>
      </c>
      <c r="E203" s="60">
        <v>18753.781999999999</v>
      </c>
      <c r="F203" s="60">
        <v>224834.82010000001</v>
      </c>
      <c r="G203" s="49">
        <v>745.23808765284696</v>
      </c>
      <c r="H203" s="49">
        <v>765.23808765284696</v>
      </c>
      <c r="I203" s="85">
        <f>H203+0.917</f>
        <v>766.15508765284699</v>
      </c>
      <c r="J203" t="s">
        <v>310</v>
      </c>
      <c r="K203" s="99">
        <v>0</v>
      </c>
      <c r="L203" t="s">
        <v>315</v>
      </c>
      <c r="M203" t="s">
        <v>317</v>
      </c>
      <c r="N203">
        <v>3000</v>
      </c>
      <c r="O203" t="s">
        <v>321</v>
      </c>
      <c r="P203" t="s">
        <v>523</v>
      </c>
    </row>
    <row r="204" spans="1:16" x14ac:dyDescent="0.3">
      <c r="A204" s="6" t="s">
        <v>201</v>
      </c>
      <c r="B204" s="30">
        <v>88</v>
      </c>
      <c r="C204" s="7">
        <v>20</v>
      </c>
      <c r="D204" s="68" t="s">
        <v>303</v>
      </c>
      <c r="E204" s="53">
        <v>18751.8966</v>
      </c>
      <c r="F204" s="53">
        <v>224832.3315</v>
      </c>
      <c r="G204" s="42">
        <v>745.26383406725802</v>
      </c>
      <c r="H204" s="42">
        <v>765.26383406725802</v>
      </c>
      <c r="I204" s="78">
        <f t="shared" ref="I204:I263" si="5">H204+0.917</f>
        <v>766.18083406725805</v>
      </c>
      <c r="J204" t="s">
        <v>310</v>
      </c>
      <c r="K204" s="99">
        <v>0</v>
      </c>
      <c r="L204" t="s">
        <v>315</v>
      </c>
      <c r="M204" t="s">
        <v>317</v>
      </c>
      <c r="N204">
        <v>3000</v>
      </c>
      <c r="O204" t="s">
        <v>321</v>
      </c>
      <c r="P204" t="s">
        <v>524</v>
      </c>
    </row>
    <row r="205" spans="1:16" x14ac:dyDescent="0.3">
      <c r="A205" s="6" t="s">
        <v>202</v>
      </c>
      <c r="B205" s="30">
        <v>88</v>
      </c>
      <c r="C205" s="7">
        <v>20</v>
      </c>
      <c r="D205" s="68" t="s">
        <v>303</v>
      </c>
      <c r="E205" s="53">
        <v>18750.012200000001</v>
      </c>
      <c r="F205" s="53">
        <v>224829.842</v>
      </c>
      <c r="G205" s="42">
        <v>745.28982692217596</v>
      </c>
      <c r="H205" s="42">
        <v>765.28982692217596</v>
      </c>
      <c r="I205" s="78">
        <f t="shared" si="5"/>
        <v>766.20682692217599</v>
      </c>
      <c r="J205" t="s">
        <v>310</v>
      </c>
      <c r="K205" s="99">
        <v>0</v>
      </c>
      <c r="L205" t="s">
        <v>315</v>
      </c>
      <c r="M205" t="s">
        <v>317</v>
      </c>
      <c r="N205">
        <v>3000</v>
      </c>
      <c r="O205" t="s">
        <v>321</v>
      </c>
      <c r="P205" t="s">
        <v>525</v>
      </c>
    </row>
    <row r="206" spans="1:16" x14ac:dyDescent="0.3">
      <c r="A206" s="6" t="s">
        <v>203</v>
      </c>
      <c r="B206" s="30">
        <v>88</v>
      </c>
      <c r="C206" s="7">
        <v>20</v>
      </c>
      <c r="D206" s="68" t="s">
        <v>303</v>
      </c>
      <c r="E206" s="53">
        <v>18748.261699999999</v>
      </c>
      <c r="F206" s="53">
        <v>224827.52720000001</v>
      </c>
      <c r="G206" s="42">
        <v>745.31420793492202</v>
      </c>
      <c r="H206" s="42">
        <v>765.31420793492202</v>
      </c>
      <c r="I206" s="78">
        <f t="shared" si="5"/>
        <v>766.23120793492205</v>
      </c>
      <c r="J206" t="s">
        <v>310</v>
      </c>
      <c r="K206" s="99">
        <v>0</v>
      </c>
      <c r="L206" t="s">
        <v>315</v>
      </c>
      <c r="M206" t="s">
        <v>317</v>
      </c>
      <c r="N206">
        <v>3000</v>
      </c>
      <c r="O206" t="s">
        <v>321</v>
      </c>
      <c r="P206" t="s">
        <v>526</v>
      </c>
    </row>
    <row r="207" spans="1:16" x14ac:dyDescent="0.3">
      <c r="A207" s="6" t="s">
        <v>204</v>
      </c>
      <c r="B207" s="30">
        <v>88</v>
      </c>
      <c r="C207" s="7">
        <v>20</v>
      </c>
      <c r="D207" s="68" t="s">
        <v>303</v>
      </c>
      <c r="E207" s="53">
        <v>18745.1554</v>
      </c>
      <c r="F207" s="53">
        <v>224823.4148</v>
      </c>
      <c r="G207" s="42">
        <v>745.35803002914201</v>
      </c>
      <c r="H207" s="42">
        <v>765.35803002914201</v>
      </c>
      <c r="I207" s="78">
        <f t="shared" si="5"/>
        <v>766.27503002914204</v>
      </c>
      <c r="J207" t="s">
        <v>310</v>
      </c>
      <c r="K207" s="99">
        <v>0</v>
      </c>
      <c r="L207" t="s">
        <v>315</v>
      </c>
      <c r="M207" t="s">
        <v>317</v>
      </c>
      <c r="N207">
        <v>3000</v>
      </c>
      <c r="O207" t="s">
        <v>321</v>
      </c>
      <c r="P207" t="s">
        <v>527</v>
      </c>
    </row>
    <row r="208" spans="1:16" x14ac:dyDescent="0.3">
      <c r="A208" s="6" t="s">
        <v>205</v>
      </c>
      <c r="B208" s="30">
        <v>88</v>
      </c>
      <c r="C208" s="7">
        <v>20</v>
      </c>
      <c r="D208" s="68" t="s">
        <v>303</v>
      </c>
      <c r="E208" s="53">
        <v>18743.799299999999</v>
      </c>
      <c r="F208" s="53">
        <v>224821.61739999999</v>
      </c>
      <c r="G208" s="42">
        <v>745.37738636378003</v>
      </c>
      <c r="H208" s="42">
        <v>765.37738636378003</v>
      </c>
      <c r="I208" s="78">
        <f t="shared" si="5"/>
        <v>766.29438636378006</v>
      </c>
      <c r="J208" t="s">
        <v>310</v>
      </c>
      <c r="K208" s="99">
        <v>0</v>
      </c>
      <c r="L208" t="s">
        <v>315</v>
      </c>
      <c r="M208" t="s">
        <v>317</v>
      </c>
      <c r="N208">
        <v>3000</v>
      </c>
      <c r="O208" t="s">
        <v>321</v>
      </c>
      <c r="P208" t="s">
        <v>528</v>
      </c>
    </row>
    <row r="209" spans="1:16" x14ac:dyDescent="0.3">
      <c r="A209" s="6" t="s">
        <v>206</v>
      </c>
      <c r="B209" s="30">
        <v>88</v>
      </c>
      <c r="C209" s="7">
        <v>20</v>
      </c>
      <c r="D209" s="68" t="s">
        <v>303</v>
      </c>
      <c r="E209" s="53">
        <v>18742.4437</v>
      </c>
      <c r="F209" s="53">
        <v>224819.81959999999</v>
      </c>
      <c r="G209" s="42">
        <v>745.39687086297499</v>
      </c>
      <c r="H209" s="42">
        <v>765.39687086297499</v>
      </c>
      <c r="I209" s="78">
        <f t="shared" si="5"/>
        <v>766.31387086297502</v>
      </c>
      <c r="J209" t="s">
        <v>310</v>
      </c>
      <c r="K209" s="99">
        <v>0</v>
      </c>
      <c r="L209" t="s">
        <v>315</v>
      </c>
      <c r="M209" t="s">
        <v>317</v>
      </c>
      <c r="N209">
        <v>3000</v>
      </c>
      <c r="O209" t="s">
        <v>321</v>
      </c>
      <c r="P209" t="s">
        <v>529</v>
      </c>
    </row>
    <row r="210" spans="1:16" ht="15" thickBot="1" x14ac:dyDescent="0.35">
      <c r="A210" s="15" t="s">
        <v>207</v>
      </c>
      <c r="B210" s="38">
        <v>88</v>
      </c>
      <c r="C210" s="16">
        <v>20</v>
      </c>
      <c r="D210" s="73" t="s">
        <v>303</v>
      </c>
      <c r="E210" s="61">
        <v>18740.607</v>
      </c>
      <c r="F210" s="61">
        <v>224817.38190000001</v>
      </c>
      <c r="G210" s="50">
        <v>745.42348780435998</v>
      </c>
      <c r="H210" s="50">
        <v>765.42348780435998</v>
      </c>
      <c r="I210" s="86">
        <f t="shared" si="5"/>
        <v>766.34048780436001</v>
      </c>
      <c r="J210" t="s">
        <v>310</v>
      </c>
      <c r="K210" s="99">
        <v>0</v>
      </c>
      <c r="L210" t="s">
        <v>315</v>
      </c>
      <c r="M210" t="s">
        <v>317</v>
      </c>
      <c r="N210">
        <v>3000</v>
      </c>
      <c r="O210" t="s">
        <v>321</v>
      </c>
      <c r="P210" t="s">
        <v>530</v>
      </c>
    </row>
    <row r="211" spans="1:16" ht="15" customHeight="1" x14ac:dyDescent="0.3">
      <c r="A211" s="25" t="s">
        <v>208</v>
      </c>
      <c r="B211" s="35">
        <v>88</v>
      </c>
      <c r="C211" s="26">
        <v>16</v>
      </c>
      <c r="D211" s="70" t="s">
        <v>303</v>
      </c>
      <c r="E211" s="58">
        <v>18738.705300000001</v>
      </c>
      <c r="F211" s="58">
        <v>224814.8553</v>
      </c>
      <c r="G211" s="47">
        <v>749.45131310100703</v>
      </c>
      <c r="H211" s="47">
        <v>765.45131310100703</v>
      </c>
      <c r="I211" s="83">
        <f t="shared" si="5"/>
        <v>766.36831310100706</v>
      </c>
      <c r="J211" t="s">
        <v>310</v>
      </c>
      <c r="K211" s="99">
        <v>0</v>
      </c>
      <c r="L211" t="s">
        <v>315</v>
      </c>
      <c r="M211" t="s">
        <v>317</v>
      </c>
      <c r="N211">
        <v>3000</v>
      </c>
      <c r="O211" t="s">
        <v>321</v>
      </c>
      <c r="P211" t="s">
        <v>531</v>
      </c>
    </row>
    <row r="212" spans="1:16" x14ac:dyDescent="0.3">
      <c r="A212" s="21" t="s">
        <v>209</v>
      </c>
      <c r="B212" s="33">
        <v>88</v>
      </c>
      <c r="C212" s="22">
        <v>16</v>
      </c>
      <c r="D212" s="65" t="s">
        <v>303</v>
      </c>
      <c r="E212" s="56">
        <v>18736.828699999998</v>
      </c>
      <c r="F212" s="56">
        <v>224812.35990000001</v>
      </c>
      <c r="G212" s="45">
        <v>749.47903419896295</v>
      </c>
      <c r="H212" s="45">
        <v>765.47903419896295</v>
      </c>
      <c r="I212" s="81">
        <f t="shared" si="5"/>
        <v>766.39603419896298</v>
      </c>
      <c r="J212" t="s">
        <v>310</v>
      </c>
      <c r="K212" s="99">
        <v>0</v>
      </c>
      <c r="L212" t="s">
        <v>315</v>
      </c>
      <c r="M212" t="s">
        <v>317</v>
      </c>
      <c r="N212">
        <v>3000</v>
      </c>
      <c r="O212" t="s">
        <v>321</v>
      </c>
      <c r="P212" t="s">
        <v>532</v>
      </c>
    </row>
    <row r="213" spans="1:16" x14ac:dyDescent="0.3">
      <c r="A213" s="21" t="s">
        <v>210</v>
      </c>
      <c r="B213" s="33">
        <v>88</v>
      </c>
      <c r="C213" s="22">
        <v>16</v>
      </c>
      <c r="D213" s="65" t="s">
        <v>303</v>
      </c>
      <c r="E213" s="56">
        <v>18734.9532</v>
      </c>
      <c r="F213" s="56">
        <v>224809.86369999999</v>
      </c>
      <c r="G213" s="45">
        <v>749.50700173742496</v>
      </c>
      <c r="H213" s="45">
        <v>765.50700173742496</v>
      </c>
      <c r="I213" s="81">
        <f t="shared" si="5"/>
        <v>766.42400173742499</v>
      </c>
      <c r="J213" t="s">
        <v>310</v>
      </c>
      <c r="K213" s="99">
        <v>0</v>
      </c>
      <c r="L213" t="s">
        <v>315</v>
      </c>
      <c r="M213" t="s">
        <v>317</v>
      </c>
      <c r="N213">
        <v>3000</v>
      </c>
      <c r="O213" t="s">
        <v>321</v>
      </c>
      <c r="P213" t="s">
        <v>533</v>
      </c>
    </row>
    <row r="214" spans="1:16" x14ac:dyDescent="0.3">
      <c r="A214" s="21" t="s">
        <v>211</v>
      </c>
      <c r="B214" s="33">
        <v>88</v>
      </c>
      <c r="C214" s="22">
        <v>16</v>
      </c>
      <c r="D214" s="65" t="s">
        <v>303</v>
      </c>
      <c r="E214" s="56">
        <v>18733.0789</v>
      </c>
      <c r="F214" s="56">
        <v>224807.36670000001</v>
      </c>
      <c r="G214" s="45">
        <v>749.53521571639305</v>
      </c>
      <c r="H214" s="45">
        <v>765.53521571639305</v>
      </c>
      <c r="I214" s="81">
        <f t="shared" si="5"/>
        <v>766.45221571639308</v>
      </c>
      <c r="J214" t="s">
        <v>310</v>
      </c>
      <c r="K214" s="99">
        <v>0</v>
      </c>
      <c r="L214" t="s">
        <v>315</v>
      </c>
      <c r="M214" t="s">
        <v>317</v>
      </c>
      <c r="N214">
        <v>3000</v>
      </c>
      <c r="O214" t="s">
        <v>321</v>
      </c>
      <c r="P214" t="s">
        <v>534</v>
      </c>
    </row>
    <row r="215" spans="1:16" x14ac:dyDescent="0.3">
      <c r="A215" s="21" t="s">
        <v>212</v>
      </c>
      <c r="B215" s="33">
        <v>88</v>
      </c>
      <c r="C215" s="22">
        <v>16</v>
      </c>
      <c r="D215" s="65" t="s">
        <v>303</v>
      </c>
      <c r="E215" s="56">
        <v>18731.205699999999</v>
      </c>
      <c r="F215" s="56">
        <v>224804.8688</v>
      </c>
      <c r="G215" s="45">
        <v>749.56367613586804</v>
      </c>
      <c r="H215" s="45">
        <v>765.56367613586804</v>
      </c>
      <c r="I215" s="81">
        <f t="shared" si="5"/>
        <v>766.48067613586807</v>
      </c>
      <c r="J215" t="s">
        <v>310</v>
      </c>
      <c r="K215" s="99">
        <v>0</v>
      </c>
      <c r="L215" t="s">
        <v>315</v>
      </c>
      <c r="M215" t="s">
        <v>317</v>
      </c>
      <c r="N215">
        <v>3000</v>
      </c>
      <c r="O215" t="s">
        <v>321</v>
      </c>
      <c r="P215" t="s">
        <v>535</v>
      </c>
    </row>
    <row r="216" spans="1:16" x14ac:dyDescent="0.3">
      <c r="A216" s="21" t="s">
        <v>213</v>
      </c>
      <c r="B216" s="33">
        <v>88</v>
      </c>
      <c r="C216" s="22">
        <v>16</v>
      </c>
      <c r="D216" s="65" t="s">
        <v>303</v>
      </c>
      <c r="E216" s="56">
        <v>18729.333600000002</v>
      </c>
      <c r="F216" s="56">
        <v>224802.3701</v>
      </c>
      <c r="G216" s="45">
        <v>749.59238299585002</v>
      </c>
      <c r="H216" s="45">
        <v>765.59238299585002</v>
      </c>
      <c r="I216" s="81">
        <f t="shared" si="5"/>
        <v>766.50938299585005</v>
      </c>
      <c r="J216" t="s">
        <v>310</v>
      </c>
      <c r="K216" s="99">
        <v>0</v>
      </c>
      <c r="L216" t="s">
        <v>315</v>
      </c>
      <c r="M216" t="s">
        <v>317</v>
      </c>
      <c r="N216">
        <v>3000</v>
      </c>
      <c r="O216" t="s">
        <v>321</v>
      </c>
      <c r="P216" t="s">
        <v>536</v>
      </c>
    </row>
    <row r="217" spans="1:16" x14ac:dyDescent="0.3">
      <c r="A217" s="21" t="s">
        <v>214</v>
      </c>
      <c r="B217" s="33">
        <v>88</v>
      </c>
      <c r="C217" s="22">
        <v>16</v>
      </c>
      <c r="D217" s="65" t="s">
        <v>303</v>
      </c>
      <c r="E217" s="56">
        <v>18727.462500000001</v>
      </c>
      <c r="F217" s="56">
        <v>224799.87049999999</v>
      </c>
      <c r="G217" s="45">
        <v>749.62133629633695</v>
      </c>
      <c r="H217" s="45">
        <v>765.62133629633695</v>
      </c>
      <c r="I217" s="81">
        <f t="shared" si="5"/>
        <v>766.53833629633698</v>
      </c>
      <c r="J217" t="s">
        <v>310</v>
      </c>
      <c r="K217" s="99">
        <v>0</v>
      </c>
      <c r="L217" t="s">
        <v>315</v>
      </c>
      <c r="M217" t="s">
        <v>317</v>
      </c>
      <c r="N217">
        <v>3000</v>
      </c>
      <c r="O217" t="s">
        <v>321</v>
      </c>
      <c r="P217" t="s">
        <v>537</v>
      </c>
    </row>
    <row r="218" spans="1:16" ht="15" thickBot="1" x14ac:dyDescent="0.35">
      <c r="A218" s="27" t="s">
        <v>215</v>
      </c>
      <c r="B218" s="36">
        <v>88</v>
      </c>
      <c r="C218" s="28">
        <v>16</v>
      </c>
      <c r="D218" s="71" t="s">
        <v>303</v>
      </c>
      <c r="E218" s="59">
        <v>18725.592700000001</v>
      </c>
      <c r="F218" s="59">
        <v>224797.3701</v>
      </c>
      <c r="G218" s="48">
        <v>749.65053603733099</v>
      </c>
      <c r="H218" s="48">
        <v>765.65053603733099</v>
      </c>
      <c r="I218" s="84">
        <f t="shared" si="5"/>
        <v>766.56753603733102</v>
      </c>
      <c r="J218" t="s">
        <v>310</v>
      </c>
      <c r="K218" s="99">
        <v>0</v>
      </c>
      <c r="L218" t="s">
        <v>315</v>
      </c>
      <c r="M218" t="s">
        <v>317</v>
      </c>
      <c r="N218">
        <v>3000</v>
      </c>
      <c r="O218" t="s">
        <v>321</v>
      </c>
      <c r="P218" t="s">
        <v>538</v>
      </c>
    </row>
    <row r="219" spans="1:16" ht="15" customHeight="1" x14ac:dyDescent="0.3">
      <c r="A219" s="13" t="s">
        <v>216</v>
      </c>
      <c r="B219" s="37">
        <v>88</v>
      </c>
      <c r="C219" s="14">
        <v>16</v>
      </c>
      <c r="D219" s="72" t="s">
        <v>303</v>
      </c>
      <c r="E219" s="60">
        <v>18723.6999</v>
      </c>
      <c r="F219" s="60">
        <v>224794.83679999999</v>
      </c>
      <c r="G219" s="49">
        <v>749.68036133397902</v>
      </c>
      <c r="H219" s="49">
        <v>765.68036133397902</v>
      </c>
      <c r="I219" s="85">
        <f t="shared" si="5"/>
        <v>766.59736133397905</v>
      </c>
      <c r="J219" t="s">
        <v>310</v>
      </c>
      <c r="K219" s="99">
        <v>0</v>
      </c>
      <c r="L219" t="s">
        <v>315</v>
      </c>
      <c r="M219" t="s">
        <v>317</v>
      </c>
      <c r="N219">
        <v>3000</v>
      </c>
      <c r="O219" t="s">
        <v>321</v>
      </c>
      <c r="P219" t="s">
        <v>539</v>
      </c>
    </row>
    <row r="220" spans="1:16" x14ac:dyDescent="0.3">
      <c r="A220" s="6" t="s">
        <v>217</v>
      </c>
      <c r="B220" s="30">
        <v>88</v>
      </c>
      <c r="C220" s="7">
        <v>16</v>
      </c>
      <c r="D220" s="68" t="s">
        <v>303</v>
      </c>
      <c r="E220" s="53">
        <v>18721.981899999999</v>
      </c>
      <c r="F220" s="53">
        <v>224792.53529999999</v>
      </c>
      <c r="G220" s="42">
        <v>749.70766856352896</v>
      </c>
      <c r="H220" s="42">
        <v>765.70766856352896</v>
      </c>
      <c r="I220" s="78">
        <f t="shared" si="5"/>
        <v>766.62466856352899</v>
      </c>
      <c r="J220" t="s">
        <v>310</v>
      </c>
      <c r="K220" s="99">
        <v>0</v>
      </c>
      <c r="L220" t="s">
        <v>315</v>
      </c>
      <c r="M220" t="s">
        <v>317</v>
      </c>
      <c r="N220">
        <v>3000</v>
      </c>
      <c r="O220" t="s">
        <v>321</v>
      </c>
      <c r="P220" t="s">
        <v>540</v>
      </c>
    </row>
    <row r="221" spans="1:16" x14ac:dyDescent="0.3">
      <c r="A221" s="6" t="s">
        <v>218</v>
      </c>
      <c r="B221" s="30">
        <v>88</v>
      </c>
      <c r="C221" s="7">
        <v>16</v>
      </c>
      <c r="D221" s="68" t="s">
        <v>303</v>
      </c>
      <c r="E221" s="53">
        <v>18719.816200000001</v>
      </c>
      <c r="F221" s="53">
        <v>224789.63130000001</v>
      </c>
      <c r="G221" s="42">
        <v>749.74240921854903</v>
      </c>
      <c r="H221" s="42">
        <v>765.74240921854903</v>
      </c>
      <c r="I221" s="78">
        <f t="shared" si="5"/>
        <v>766.65940921854906</v>
      </c>
      <c r="J221" t="s">
        <v>310</v>
      </c>
      <c r="K221" s="99">
        <v>0</v>
      </c>
      <c r="L221" t="s">
        <v>315</v>
      </c>
      <c r="M221" t="s">
        <v>317</v>
      </c>
      <c r="N221">
        <v>3000</v>
      </c>
      <c r="O221" t="s">
        <v>321</v>
      </c>
      <c r="P221" t="s">
        <v>541</v>
      </c>
    </row>
    <row r="222" spans="1:16" x14ac:dyDescent="0.3">
      <c r="A222" s="6" t="s">
        <v>219</v>
      </c>
      <c r="B222" s="30">
        <v>88</v>
      </c>
      <c r="C222" s="7">
        <v>16</v>
      </c>
      <c r="D222" s="68" t="s">
        <v>303</v>
      </c>
      <c r="E222" s="53">
        <v>18718.453000000001</v>
      </c>
      <c r="F222" s="53">
        <v>224787.80160000001</v>
      </c>
      <c r="G222" s="42">
        <v>749.76446035157403</v>
      </c>
      <c r="H222" s="42">
        <v>765.76446035157403</v>
      </c>
      <c r="I222" s="78">
        <f t="shared" si="5"/>
        <v>766.68146035157406</v>
      </c>
      <c r="J222" t="s">
        <v>310</v>
      </c>
      <c r="K222" s="99">
        <v>0</v>
      </c>
      <c r="L222" t="s">
        <v>315</v>
      </c>
      <c r="M222" t="s">
        <v>317</v>
      </c>
      <c r="N222">
        <v>3000</v>
      </c>
      <c r="O222" t="s">
        <v>321</v>
      </c>
      <c r="P222" t="s">
        <v>542</v>
      </c>
    </row>
    <row r="223" spans="1:16" ht="15" thickBot="1" x14ac:dyDescent="0.35">
      <c r="A223" s="6" t="s">
        <v>220</v>
      </c>
      <c r="B223" s="30">
        <v>88</v>
      </c>
      <c r="C223" s="7">
        <v>16</v>
      </c>
      <c r="D223" s="68" t="s">
        <v>303</v>
      </c>
      <c r="E223" s="53">
        <v>18715.883600000001</v>
      </c>
      <c r="F223" s="53">
        <v>224784.3498</v>
      </c>
      <c r="G223" s="42">
        <v>749.80640616663197</v>
      </c>
      <c r="H223" s="42">
        <v>765.80640616663197</v>
      </c>
      <c r="I223" s="78">
        <f t="shared" si="5"/>
        <v>766.723406166632</v>
      </c>
      <c r="J223" t="s">
        <v>310</v>
      </c>
      <c r="K223" s="99">
        <v>0</v>
      </c>
      <c r="L223" t="s">
        <v>315</v>
      </c>
      <c r="M223" t="s">
        <v>317</v>
      </c>
      <c r="N223">
        <v>3000</v>
      </c>
      <c r="O223" t="s">
        <v>321</v>
      </c>
      <c r="P223" t="s">
        <v>543</v>
      </c>
    </row>
    <row r="224" spans="1:16" ht="15" customHeight="1" x14ac:dyDescent="0.3">
      <c r="A224" s="25" t="s">
        <v>221</v>
      </c>
      <c r="B224" s="35">
        <v>88</v>
      </c>
      <c r="C224" s="91">
        <v>16</v>
      </c>
      <c r="D224" s="70" t="s">
        <v>303</v>
      </c>
      <c r="E224" s="58">
        <v>18708.766199999998</v>
      </c>
      <c r="F224" s="58">
        <v>224774.7648</v>
      </c>
      <c r="G224" s="47">
        <v>749.92523235176202</v>
      </c>
      <c r="H224" s="47">
        <v>765.92523235176202</v>
      </c>
      <c r="I224" s="83">
        <f t="shared" si="5"/>
        <v>766.84223235176205</v>
      </c>
      <c r="J224" t="s">
        <v>310</v>
      </c>
      <c r="K224" s="99">
        <v>0</v>
      </c>
      <c r="L224" t="s">
        <v>315</v>
      </c>
      <c r="M224" t="s">
        <v>317</v>
      </c>
      <c r="N224">
        <v>3000</v>
      </c>
      <c r="O224" t="s">
        <v>321</v>
      </c>
      <c r="P224" t="s">
        <v>544</v>
      </c>
    </row>
    <row r="225" spans="1:16" x14ac:dyDescent="0.3">
      <c r="A225" s="21" t="s">
        <v>222</v>
      </c>
      <c r="B225" s="33">
        <v>88</v>
      </c>
      <c r="C225" s="92">
        <v>16</v>
      </c>
      <c r="D225" s="65" t="s">
        <v>303</v>
      </c>
      <c r="E225" s="56">
        <v>18706.907500000001</v>
      </c>
      <c r="F225" s="56">
        <v>224772.2561</v>
      </c>
      <c r="G225" s="45">
        <v>749.95690281680595</v>
      </c>
      <c r="H225" s="45">
        <v>765.95690281680595</v>
      </c>
      <c r="I225" s="81">
        <f t="shared" si="5"/>
        <v>766.87390281680598</v>
      </c>
      <c r="J225" t="s">
        <v>310</v>
      </c>
      <c r="K225" s="99">
        <v>0</v>
      </c>
      <c r="L225" t="s">
        <v>315</v>
      </c>
      <c r="M225" t="s">
        <v>317</v>
      </c>
      <c r="N225">
        <v>3000</v>
      </c>
      <c r="O225" t="s">
        <v>321</v>
      </c>
      <c r="P225" t="s">
        <v>545</v>
      </c>
    </row>
    <row r="226" spans="1:16" x14ac:dyDescent="0.3">
      <c r="A226" s="21" t="s">
        <v>223</v>
      </c>
      <c r="B226" s="33">
        <v>88</v>
      </c>
      <c r="C226" s="92">
        <v>16</v>
      </c>
      <c r="D226" s="65" t="s">
        <v>303</v>
      </c>
      <c r="E226" s="56">
        <v>18705.049900000002</v>
      </c>
      <c r="F226" s="56">
        <v>224769.74660000001</v>
      </c>
      <c r="G226" s="45">
        <v>749.98881972235802</v>
      </c>
      <c r="H226" s="45">
        <v>765.98881972235802</v>
      </c>
      <c r="I226" s="81">
        <f t="shared" si="5"/>
        <v>766.90581972235805</v>
      </c>
      <c r="J226" t="s">
        <v>310</v>
      </c>
      <c r="K226" s="99">
        <v>0</v>
      </c>
      <c r="L226" t="s">
        <v>315</v>
      </c>
      <c r="M226" t="s">
        <v>317</v>
      </c>
      <c r="N226">
        <v>3000</v>
      </c>
      <c r="O226" t="s">
        <v>321</v>
      </c>
      <c r="P226" t="s">
        <v>546</v>
      </c>
    </row>
    <row r="227" spans="1:16" x14ac:dyDescent="0.3">
      <c r="A227" s="21" t="s">
        <v>224</v>
      </c>
      <c r="B227" s="33">
        <v>88</v>
      </c>
      <c r="C227" s="92">
        <v>16</v>
      </c>
      <c r="D227" s="65" t="s">
        <v>303</v>
      </c>
      <c r="E227" s="56">
        <v>18703.1934</v>
      </c>
      <c r="F227" s="56">
        <v>224767.23620000001</v>
      </c>
      <c r="G227" s="45">
        <v>750.02098306841503</v>
      </c>
      <c r="H227" s="45">
        <v>766.02098306841503</v>
      </c>
      <c r="I227" s="81">
        <f t="shared" si="5"/>
        <v>766.93798306841506</v>
      </c>
      <c r="J227" t="s">
        <v>310</v>
      </c>
      <c r="K227" s="99">
        <v>0</v>
      </c>
      <c r="L227" t="s">
        <v>315</v>
      </c>
      <c r="M227" t="s">
        <v>317</v>
      </c>
      <c r="N227">
        <v>3000</v>
      </c>
      <c r="O227" t="s">
        <v>321</v>
      </c>
      <c r="P227" t="s">
        <v>547</v>
      </c>
    </row>
    <row r="228" spans="1:16" x14ac:dyDescent="0.3">
      <c r="A228" s="21" t="s">
        <v>225</v>
      </c>
      <c r="B228" s="33">
        <v>88</v>
      </c>
      <c r="C228" s="92">
        <v>16</v>
      </c>
      <c r="D228" s="65" t="s">
        <v>303</v>
      </c>
      <c r="E228" s="56">
        <v>18701.338100000001</v>
      </c>
      <c r="F228" s="56">
        <v>224764.72500000001</v>
      </c>
      <c r="G228" s="45">
        <v>750.05339285497905</v>
      </c>
      <c r="H228" s="45">
        <v>766.05339285497905</v>
      </c>
      <c r="I228" s="81">
        <f t="shared" si="5"/>
        <v>766.97039285497908</v>
      </c>
      <c r="J228" t="s">
        <v>310</v>
      </c>
      <c r="K228" s="99">
        <v>0</v>
      </c>
      <c r="L228" t="s">
        <v>315</v>
      </c>
      <c r="M228" t="s">
        <v>317</v>
      </c>
      <c r="N228">
        <v>3000</v>
      </c>
      <c r="O228" t="s">
        <v>321</v>
      </c>
      <c r="P228" t="s">
        <v>548</v>
      </c>
    </row>
    <row r="229" spans="1:16" x14ac:dyDescent="0.3">
      <c r="A229" s="21" t="s">
        <v>226</v>
      </c>
      <c r="B229" s="33">
        <v>88</v>
      </c>
      <c r="C229" s="92">
        <v>16</v>
      </c>
      <c r="D229" s="65" t="s">
        <v>303</v>
      </c>
      <c r="E229" s="56">
        <v>18699.483899999999</v>
      </c>
      <c r="F229" s="56">
        <v>224762.21290000001</v>
      </c>
      <c r="G229" s="45">
        <v>750.08604908204904</v>
      </c>
      <c r="H229" s="45">
        <v>766.08604908204904</v>
      </c>
      <c r="I229" s="81">
        <f t="shared" si="5"/>
        <v>767.00304908204907</v>
      </c>
      <c r="J229" t="s">
        <v>310</v>
      </c>
      <c r="K229" s="99">
        <v>0</v>
      </c>
      <c r="L229" t="s">
        <v>315</v>
      </c>
      <c r="M229" t="s">
        <v>317</v>
      </c>
      <c r="N229">
        <v>3000</v>
      </c>
      <c r="O229" t="s">
        <v>321</v>
      </c>
      <c r="P229" t="s">
        <v>549</v>
      </c>
    </row>
    <row r="230" spans="1:16" x14ac:dyDescent="0.3">
      <c r="A230" s="21" t="s">
        <v>227</v>
      </c>
      <c r="B230" s="33">
        <v>88</v>
      </c>
      <c r="C230" s="92">
        <v>16</v>
      </c>
      <c r="D230" s="65" t="s">
        <v>303</v>
      </c>
      <c r="E230" s="56">
        <v>18697.630799999999</v>
      </c>
      <c r="F230" s="56">
        <v>224759.70009999999</v>
      </c>
      <c r="G230" s="45">
        <v>750.11895174962501</v>
      </c>
      <c r="H230" s="45">
        <v>766.11895174962501</v>
      </c>
      <c r="I230" s="81">
        <f t="shared" si="5"/>
        <v>767.03595174962504</v>
      </c>
      <c r="J230" t="s">
        <v>310</v>
      </c>
      <c r="K230" s="99">
        <v>0</v>
      </c>
      <c r="L230" t="s">
        <v>315</v>
      </c>
      <c r="M230" t="s">
        <v>317</v>
      </c>
      <c r="N230">
        <v>3000</v>
      </c>
      <c r="O230" t="s">
        <v>321</v>
      </c>
      <c r="P230" t="s">
        <v>550</v>
      </c>
    </row>
    <row r="231" spans="1:16" ht="15" thickBot="1" x14ac:dyDescent="0.35">
      <c r="A231" s="27" t="s">
        <v>228</v>
      </c>
      <c r="B231" s="36">
        <v>88</v>
      </c>
      <c r="C231" s="93">
        <v>16</v>
      </c>
      <c r="D231" s="71" t="s">
        <v>303</v>
      </c>
      <c r="E231" s="59">
        <v>18695.7788</v>
      </c>
      <c r="F231" s="59">
        <v>224757.18640000001</v>
      </c>
      <c r="G231" s="48">
        <v>750.15210085770798</v>
      </c>
      <c r="H231" s="48">
        <v>766.15210085770798</v>
      </c>
      <c r="I231" s="84">
        <f t="shared" si="5"/>
        <v>767.06910085770801</v>
      </c>
      <c r="J231" t="s">
        <v>310</v>
      </c>
      <c r="K231" s="99">
        <v>0</v>
      </c>
      <c r="L231" t="s">
        <v>315</v>
      </c>
      <c r="M231" t="s">
        <v>317</v>
      </c>
      <c r="N231">
        <v>3000</v>
      </c>
      <c r="O231" t="s">
        <v>321</v>
      </c>
      <c r="P231" t="s">
        <v>551</v>
      </c>
    </row>
    <row r="232" spans="1:16" ht="15" customHeight="1" x14ac:dyDescent="0.3">
      <c r="A232" s="13" t="s">
        <v>229</v>
      </c>
      <c r="B232" s="37">
        <v>88</v>
      </c>
      <c r="C232" s="94">
        <v>17</v>
      </c>
      <c r="D232" s="72" t="s">
        <v>303</v>
      </c>
      <c r="E232" s="60">
        <v>18693.904200000001</v>
      </c>
      <c r="F232" s="60">
        <v>224754.6397</v>
      </c>
      <c r="G232" s="49">
        <v>749.18592615435603</v>
      </c>
      <c r="H232" s="49">
        <v>766.18592615435603</v>
      </c>
      <c r="I232" s="85">
        <f t="shared" si="5"/>
        <v>767.10292615435606</v>
      </c>
      <c r="J232" t="s">
        <v>310</v>
      </c>
      <c r="K232" s="99">
        <v>0</v>
      </c>
      <c r="L232" t="s">
        <v>315</v>
      </c>
      <c r="M232" t="s">
        <v>317</v>
      </c>
      <c r="N232">
        <v>3000</v>
      </c>
      <c r="O232" t="s">
        <v>321</v>
      </c>
      <c r="P232" t="s">
        <v>552</v>
      </c>
    </row>
    <row r="233" spans="1:16" x14ac:dyDescent="0.3">
      <c r="A233" s="6" t="s">
        <v>230</v>
      </c>
      <c r="B233" s="30">
        <v>88</v>
      </c>
      <c r="C233" s="92">
        <v>17</v>
      </c>
      <c r="D233" s="68" t="s">
        <v>303</v>
      </c>
      <c r="E233" s="53">
        <v>18692.054499999998</v>
      </c>
      <c r="F233" s="53">
        <v>224752.1243</v>
      </c>
      <c r="G233" s="42">
        <v>749.21957130294504</v>
      </c>
      <c r="H233" s="42">
        <v>766.21957130294504</v>
      </c>
      <c r="I233" s="78">
        <f t="shared" si="5"/>
        <v>767.13657130294507</v>
      </c>
      <c r="J233" t="s">
        <v>310</v>
      </c>
      <c r="K233" s="99">
        <v>0</v>
      </c>
      <c r="L233" t="s">
        <v>315</v>
      </c>
      <c r="M233" t="s">
        <v>317</v>
      </c>
      <c r="N233">
        <v>3000</v>
      </c>
      <c r="O233" t="s">
        <v>321</v>
      </c>
      <c r="P233" t="s">
        <v>553</v>
      </c>
    </row>
    <row r="234" spans="1:16" x14ac:dyDescent="0.3">
      <c r="A234" s="6" t="s">
        <v>231</v>
      </c>
      <c r="B234" s="30">
        <v>88</v>
      </c>
      <c r="C234" s="92">
        <v>17</v>
      </c>
      <c r="D234" s="68" t="s">
        <v>303</v>
      </c>
      <c r="E234" s="53">
        <v>18690.205900000001</v>
      </c>
      <c r="F234" s="53">
        <v>224749.60819999999</v>
      </c>
      <c r="G234" s="42">
        <v>749.25346289204094</v>
      </c>
      <c r="H234" s="42">
        <v>766.25346289204094</v>
      </c>
      <c r="I234" s="78">
        <f t="shared" si="5"/>
        <v>767.17046289204097</v>
      </c>
      <c r="J234" t="s">
        <v>310</v>
      </c>
      <c r="K234" s="99">
        <v>0</v>
      </c>
      <c r="L234" t="s">
        <v>315</v>
      </c>
      <c r="M234" t="s">
        <v>317</v>
      </c>
      <c r="N234">
        <v>3000</v>
      </c>
      <c r="O234" t="s">
        <v>321</v>
      </c>
      <c r="P234" t="s">
        <v>554</v>
      </c>
    </row>
    <row r="235" spans="1:16" x14ac:dyDescent="0.3">
      <c r="A235" s="6" t="s">
        <v>232</v>
      </c>
      <c r="B235" s="30">
        <v>88</v>
      </c>
      <c r="C235" s="92">
        <v>17</v>
      </c>
      <c r="D235" s="68" t="s">
        <v>303</v>
      </c>
      <c r="E235" s="53">
        <v>18688.358400000001</v>
      </c>
      <c r="F235" s="53">
        <v>224747.0914</v>
      </c>
      <c r="G235" s="42">
        <v>749.28760092164305</v>
      </c>
      <c r="H235" s="42">
        <v>766.28760092164305</v>
      </c>
      <c r="I235" s="78">
        <f t="shared" si="5"/>
        <v>767.20460092164308</v>
      </c>
      <c r="J235" t="s">
        <v>310</v>
      </c>
      <c r="K235" s="99">
        <v>0</v>
      </c>
      <c r="L235" t="s">
        <v>315</v>
      </c>
      <c r="M235" t="s">
        <v>317</v>
      </c>
      <c r="N235">
        <v>3000</v>
      </c>
      <c r="O235" t="s">
        <v>321</v>
      </c>
      <c r="P235" t="s">
        <v>555</v>
      </c>
    </row>
    <row r="236" spans="1:16" x14ac:dyDescent="0.3">
      <c r="A236" s="6" t="s">
        <v>233</v>
      </c>
      <c r="B236" s="30">
        <v>88</v>
      </c>
      <c r="C236" s="92">
        <v>17</v>
      </c>
      <c r="D236" s="68" t="s">
        <v>303</v>
      </c>
      <c r="E236" s="53">
        <v>18686.511999999999</v>
      </c>
      <c r="F236" s="53">
        <v>224744.57399999999</v>
      </c>
      <c r="G236" s="42">
        <v>749.32198539175101</v>
      </c>
      <c r="H236" s="42">
        <v>766.32198539175101</v>
      </c>
      <c r="I236" s="78">
        <f t="shared" si="5"/>
        <v>767.23898539175104</v>
      </c>
      <c r="J236" t="s">
        <v>310</v>
      </c>
      <c r="K236" s="99">
        <v>0</v>
      </c>
      <c r="L236" t="s">
        <v>315</v>
      </c>
      <c r="M236" t="s">
        <v>317</v>
      </c>
      <c r="N236">
        <v>3000</v>
      </c>
      <c r="O236" t="s">
        <v>321</v>
      </c>
      <c r="P236" t="s">
        <v>556</v>
      </c>
    </row>
    <row r="237" spans="1:16" x14ac:dyDescent="0.3">
      <c r="A237" s="6" t="s">
        <v>234</v>
      </c>
      <c r="B237" s="30">
        <v>88</v>
      </c>
      <c r="C237" s="92">
        <v>17</v>
      </c>
      <c r="D237" s="68" t="s">
        <v>303</v>
      </c>
      <c r="E237" s="53">
        <v>18684.666700000002</v>
      </c>
      <c r="F237" s="53">
        <v>224742.0558</v>
      </c>
      <c r="G237" s="42">
        <v>749.35661630236598</v>
      </c>
      <c r="H237" s="42">
        <v>766.35661630236598</v>
      </c>
      <c r="I237" s="78">
        <f t="shared" si="5"/>
        <v>767.27361630236601</v>
      </c>
      <c r="J237" t="s">
        <v>310</v>
      </c>
      <c r="K237" s="99">
        <v>0</v>
      </c>
      <c r="L237" t="s">
        <v>315</v>
      </c>
      <c r="M237" t="s">
        <v>317</v>
      </c>
      <c r="N237">
        <v>3000</v>
      </c>
      <c r="O237" t="s">
        <v>321</v>
      </c>
      <c r="P237" t="s">
        <v>557</v>
      </c>
    </row>
    <row r="238" spans="1:16" x14ac:dyDescent="0.3">
      <c r="A238" s="6" t="s">
        <v>235</v>
      </c>
      <c r="B238" s="30">
        <v>88</v>
      </c>
      <c r="C238" s="92">
        <v>17</v>
      </c>
      <c r="D238" s="68" t="s">
        <v>303</v>
      </c>
      <c r="E238" s="53">
        <v>18682.8223</v>
      </c>
      <c r="F238" s="53">
        <v>224739.53709999999</v>
      </c>
      <c r="G238" s="42">
        <v>749.39149365348703</v>
      </c>
      <c r="H238" s="42">
        <v>766.39149365348703</v>
      </c>
      <c r="I238" s="78">
        <f t="shared" si="5"/>
        <v>767.30849365348706</v>
      </c>
      <c r="J238" t="s">
        <v>310</v>
      </c>
      <c r="K238" s="99">
        <v>0</v>
      </c>
      <c r="L238" t="s">
        <v>315</v>
      </c>
      <c r="M238" t="s">
        <v>317</v>
      </c>
      <c r="N238">
        <v>3000</v>
      </c>
      <c r="O238" t="s">
        <v>321</v>
      </c>
      <c r="P238" t="s">
        <v>558</v>
      </c>
    </row>
    <row r="239" spans="1:16" ht="15" thickBot="1" x14ac:dyDescent="0.35">
      <c r="A239" s="15" t="s">
        <v>236</v>
      </c>
      <c r="B239" s="38">
        <v>88</v>
      </c>
      <c r="C239" s="95">
        <v>17</v>
      </c>
      <c r="D239" s="73" t="s">
        <v>303</v>
      </c>
      <c r="E239" s="61">
        <v>18680.978800000001</v>
      </c>
      <c r="F239" s="61">
        <v>224737.0178</v>
      </c>
      <c r="G239" s="50">
        <v>749.42661744511395</v>
      </c>
      <c r="H239" s="50">
        <v>766.42661744511395</v>
      </c>
      <c r="I239" s="86">
        <f t="shared" si="5"/>
        <v>767.34361744511398</v>
      </c>
      <c r="J239" t="s">
        <v>310</v>
      </c>
      <c r="K239" s="99">
        <v>0</v>
      </c>
      <c r="L239" t="s">
        <v>315</v>
      </c>
      <c r="M239" t="s">
        <v>317</v>
      </c>
      <c r="N239">
        <v>3000</v>
      </c>
      <c r="O239" t="s">
        <v>321</v>
      </c>
      <c r="P239" t="s">
        <v>559</v>
      </c>
    </row>
    <row r="240" spans="1:16" ht="15" customHeight="1" x14ac:dyDescent="0.3">
      <c r="A240" s="25" t="s">
        <v>237</v>
      </c>
      <c r="B240" s="35">
        <v>88</v>
      </c>
      <c r="C240" s="91">
        <v>17</v>
      </c>
      <c r="D240" s="70" t="s">
        <v>303</v>
      </c>
      <c r="E240" s="58">
        <v>18679.1126</v>
      </c>
      <c r="F240" s="58">
        <v>224734.4656</v>
      </c>
      <c r="G240" s="47">
        <v>749.46244274176195</v>
      </c>
      <c r="H240" s="47">
        <v>766.46244274176195</v>
      </c>
      <c r="I240" s="83">
        <f t="shared" si="5"/>
        <v>767.37944274176198</v>
      </c>
      <c r="J240" t="s">
        <v>310</v>
      </c>
      <c r="K240" s="99">
        <v>0</v>
      </c>
      <c r="L240" t="s">
        <v>315</v>
      </c>
      <c r="M240" t="s">
        <v>317</v>
      </c>
      <c r="N240">
        <v>3000</v>
      </c>
      <c r="O240" t="s">
        <v>321</v>
      </c>
      <c r="P240" t="s">
        <v>560</v>
      </c>
    </row>
    <row r="241" spans="1:16" x14ac:dyDescent="0.3">
      <c r="A241" s="21" t="s">
        <v>238</v>
      </c>
      <c r="B241" s="33">
        <v>88</v>
      </c>
      <c r="C241" s="92">
        <v>17</v>
      </c>
      <c r="D241" s="65" t="s">
        <v>303</v>
      </c>
      <c r="E241" s="56">
        <v>18677.2709</v>
      </c>
      <c r="F241" s="56">
        <v>224731.94529999999</v>
      </c>
      <c r="G241" s="45">
        <v>749.49806257389605</v>
      </c>
      <c r="H241" s="45">
        <v>766.49806257389605</v>
      </c>
      <c r="I241" s="81">
        <f t="shared" si="5"/>
        <v>767.41506257389608</v>
      </c>
      <c r="J241" t="s">
        <v>310</v>
      </c>
      <c r="K241" s="99">
        <v>0</v>
      </c>
      <c r="L241" t="s">
        <v>315</v>
      </c>
      <c r="M241" t="s">
        <v>317</v>
      </c>
      <c r="N241">
        <v>3000</v>
      </c>
      <c r="O241" t="s">
        <v>321</v>
      </c>
      <c r="P241" t="s">
        <v>561</v>
      </c>
    </row>
    <row r="242" spans="1:16" x14ac:dyDescent="0.3">
      <c r="A242" s="21" t="s">
        <v>239</v>
      </c>
      <c r="B242" s="33">
        <v>88</v>
      </c>
      <c r="C242" s="92">
        <v>17</v>
      </c>
      <c r="D242" s="65" t="s">
        <v>303</v>
      </c>
      <c r="E242" s="56">
        <v>18675.430100000001</v>
      </c>
      <c r="F242" s="56">
        <v>224729.42439999999</v>
      </c>
      <c r="G242" s="45">
        <v>749.53392884653601</v>
      </c>
      <c r="H242" s="45">
        <v>766.53392884653601</v>
      </c>
      <c r="I242" s="81">
        <f t="shared" si="5"/>
        <v>767.45092884653604</v>
      </c>
      <c r="J242" t="s">
        <v>310</v>
      </c>
      <c r="K242" s="99">
        <v>0</v>
      </c>
      <c r="L242" t="s">
        <v>315</v>
      </c>
      <c r="M242" t="s">
        <v>317</v>
      </c>
      <c r="N242">
        <v>3000</v>
      </c>
      <c r="O242" t="s">
        <v>321</v>
      </c>
      <c r="P242" t="s">
        <v>562</v>
      </c>
    </row>
    <row r="243" spans="1:16" x14ac:dyDescent="0.3">
      <c r="A243" s="21" t="s">
        <v>240</v>
      </c>
      <c r="B243" s="33">
        <v>88</v>
      </c>
      <c r="C243" s="92">
        <v>17</v>
      </c>
      <c r="D243" s="65" t="s">
        <v>303</v>
      </c>
      <c r="E243" s="56">
        <v>18673.589899999999</v>
      </c>
      <c r="F243" s="56">
        <v>224726.9031</v>
      </c>
      <c r="G243" s="45">
        <v>749.57004155968195</v>
      </c>
      <c r="H243" s="45">
        <v>766.57004155968195</v>
      </c>
      <c r="I243" s="81">
        <f t="shared" si="5"/>
        <v>767.48704155968198</v>
      </c>
      <c r="J243" t="s">
        <v>310</v>
      </c>
      <c r="K243" s="99">
        <v>0</v>
      </c>
      <c r="L243" t="s">
        <v>315</v>
      </c>
      <c r="M243" t="s">
        <v>317</v>
      </c>
      <c r="N243">
        <v>3000</v>
      </c>
      <c r="O243" t="s">
        <v>321</v>
      </c>
      <c r="P243" t="s">
        <v>563</v>
      </c>
    </row>
    <row r="244" spans="1:16" x14ac:dyDescent="0.3">
      <c r="A244" s="21" t="s">
        <v>241</v>
      </c>
      <c r="B244" s="33">
        <v>88</v>
      </c>
      <c r="C244" s="92">
        <v>17</v>
      </c>
      <c r="D244" s="65" t="s">
        <v>303</v>
      </c>
      <c r="E244" s="56">
        <v>18671.750499999998</v>
      </c>
      <c r="F244" s="56">
        <v>224724.38140000001</v>
      </c>
      <c r="G244" s="45">
        <v>749.60640071333501</v>
      </c>
      <c r="H244" s="45">
        <v>766.60640071333501</v>
      </c>
      <c r="I244" s="81">
        <f t="shared" si="5"/>
        <v>767.52340071333504</v>
      </c>
      <c r="J244" t="s">
        <v>310</v>
      </c>
      <c r="K244" s="99">
        <v>0</v>
      </c>
      <c r="L244" t="s">
        <v>315</v>
      </c>
      <c r="M244" t="s">
        <v>317</v>
      </c>
      <c r="N244">
        <v>3000</v>
      </c>
      <c r="O244" t="s">
        <v>321</v>
      </c>
      <c r="P244" t="s">
        <v>564</v>
      </c>
    </row>
    <row r="245" spans="1:16" x14ac:dyDescent="0.3">
      <c r="A245" s="21" t="s">
        <v>242</v>
      </c>
      <c r="B245" s="33">
        <v>88</v>
      </c>
      <c r="C245" s="92">
        <v>17</v>
      </c>
      <c r="D245" s="65" t="s">
        <v>303</v>
      </c>
      <c r="E245" s="56">
        <v>18669.911800000002</v>
      </c>
      <c r="F245" s="56">
        <v>224721.85930000001</v>
      </c>
      <c r="G245" s="45">
        <v>749.64300630749403</v>
      </c>
      <c r="H245" s="45">
        <v>766.64300630749403</v>
      </c>
      <c r="I245" s="81">
        <f t="shared" si="5"/>
        <v>767.56000630749406</v>
      </c>
      <c r="J245" t="s">
        <v>310</v>
      </c>
      <c r="K245" s="99">
        <v>0</v>
      </c>
      <c r="L245" t="s">
        <v>315</v>
      </c>
      <c r="M245" t="s">
        <v>317</v>
      </c>
      <c r="N245">
        <v>3000</v>
      </c>
      <c r="O245" t="s">
        <v>321</v>
      </c>
      <c r="P245" t="s">
        <v>565</v>
      </c>
    </row>
    <row r="246" spans="1:16" x14ac:dyDescent="0.3">
      <c r="A246" s="21" t="s">
        <v>243</v>
      </c>
      <c r="B246" s="33">
        <v>88</v>
      </c>
      <c r="C246" s="92">
        <v>17</v>
      </c>
      <c r="D246" s="65" t="s">
        <v>303</v>
      </c>
      <c r="E246" s="56">
        <v>18668.073700000001</v>
      </c>
      <c r="F246" s="56">
        <v>224719.33679999999</v>
      </c>
      <c r="G246" s="45">
        <v>749.67985834215995</v>
      </c>
      <c r="H246" s="45">
        <v>766.67985834215995</v>
      </c>
      <c r="I246" s="81">
        <f t="shared" si="5"/>
        <v>767.59685834215998</v>
      </c>
      <c r="J246" t="s">
        <v>310</v>
      </c>
      <c r="K246" s="99">
        <v>0</v>
      </c>
      <c r="L246" t="s">
        <v>315</v>
      </c>
      <c r="M246" t="s">
        <v>317</v>
      </c>
      <c r="N246">
        <v>3000</v>
      </c>
      <c r="O246" t="s">
        <v>321</v>
      </c>
      <c r="P246" t="s">
        <v>566</v>
      </c>
    </row>
    <row r="247" spans="1:16" ht="15" thickBot="1" x14ac:dyDescent="0.35">
      <c r="A247" s="27" t="s">
        <v>244</v>
      </c>
      <c r="B247" s="36">
        <v>88</v>
      </c>
      <c r="C247" s="93">
        <v>17</v>
      </c>
      <c r="D247" s="71" t="s">
        <v>303</v>
      </c>
      <c r="E247" s="59">
        <v>18666.236199999999</v>
      </c>
      <c r="F247" s="59">
        <v>224716.81400000001</v>
      </c>
      <c r="G247" s="48">
        <v>749.71695681733195</v>
      </c>
      <c r="H247" s="48">
        <v>766.71695681733195</v>
      </c>
      <c r="I247" s="84">
        <f t="shared" si="5"/>
        <v>767.63395681733198</v>
      </c>
      <c r="J247" t="s">
        <v>310</v>
      </c>
      <c r="K247" s="99">
        <v>0</v>
      </c>
      <c r="L247" t="s">
        <v>315</v>
      </c>
      <c r="M247" t="s">
        <v>317</v>
      </c>
      <c r="N247">
        <v>3000</v>
      </c>
      <c r="O247" t="s">
        <v>321</v>
      </c>
      <c r="P247" t="s">
        <v>567</v>
      </c>
    </row>
    <row r="248" spans="1:16" ht="15" customHeight="1" x14ac:dyDescent="0.3">
      <c r="A248" s="13" t="s">
        <v>245</v>
      </c>
      <c r="B248" s="37">
        <v>88</v>
      </c>
      <c r="C248" s="94">
        <v>17</v>
      </c>
      <c r="D248" s="72" t="s">
        <v>303</v>
      </c>
      <c r="E248" s="60">
        <v>18664.375700000001</v>
      </c>
      <c r="F248" s="60">
        <v>224714.2586</v>
      </c>
      <c r="G248" s="49">
        <v>749.75478211398001</v>
      </c>
      <c r="H248" s="49">
        <v>766.75478211398001</v>
      </c>
      <c r="I248" s="85">
        <f t="shared" si="5"/>
        <v>767.67178211398004</v>
      </c>
      <c r="J248" t="s">
        <v>310</v>
      </c>
      <c r="K248" s="99">
        <v>0</v>
      </c>
      <c r="L248" t="s">
        <v>315</v>
      </c>
      <c r="M248" t="s">
        <v>317</v>
      </c>
      <c r="N248">
        <v>3000</v>
      </c>
      <c r="O248" t="s">
        <v>321</v>
      </c>
      <c r="P248" t="s">
        <v>568</v>
      </c>
    </row>
    <row r="249" spans="1:16" x14ac:dyDescent="0.3">
      <c r="A249" s="6" t="s">
        <v>246</v>
      </c>
      <c r="B249" s="30">
        <v>88</v>
      </c>
      <c r="C249" s="92">
        <v>17</v>
      </c>
      <c r="D249" s="68" t="s">
        <v>303</v>
      </c>
      <c r="E249" s="53">
        <v>18662.686399999999</v>
      </c>
      <c r="F249" s="53">
        <v>224711.9375</v>
      </c>
      <c r="G249" s="42">
        <v>749.789355166316</v>
      </c>
      <c r="H249" s="42">
        <v>766.789355166316</v>
      </c>
      <c r="I249" s="78">
        <f t="shared" si="5"/>
        <v>767.70635516631603</v>
      </c>
      <c r="J249" t="s">
        <v>310</v>
      </c>
      <c r="K249" s="99">
        <v>0</v>
      </c>
      <c r="L249" t="s">
        <v>315</v>
      </c>
      <c r="M249" t="s">
        <v>317</v>
      </c>
      <c r="N249">
        <v>3000</v>
      </c>
      <c r="O249" t="s">
        <v>321</v>
      </c>
      <c r="P249" t="s">
        <v>569</v>
      </c>
    </row>
    <row r="250" spans="1:16" x14ac:dyDescent="0.3">
      <c r="A250" s="6" t="s">
        <v>247</v>
      </c>
      <c r="B250" s="30">
        <v>88</v>
      </c>
      <c r="C250" s="92">
        <v>17</v>
      </c>
      <c r="D250" s="68" t="s">
        <v>303</v>
      </c>
      <c r="E250" s="53">
        <v>18660.556199999999</v>
      </c>
      <c r="F250" s="53">
        <v>224709.00949999999</v>
      </c>
      <c r="G250" s="42">
        <v>749.83326037829897</v>
      </c>
      <c r="H250" s="42">
        <v>766.83326037829897</v>
      </c>
      <c r="I250" s="78">
        <f t="shared" si="5"/>
        <v>767.750260378299</v>
      </c>
      <c r="J250" t="s">
        <v>310</v>
      </c>
      <c r="K250" s="99">
        <v>0</v>
      </c>
      <c r="L250" t="s">
        <v>315</v>
      </c>
      <c r="M250" t="s">
        <v>317</v>
      </c>
      <c r="N250">
        <v>3000</v>
      </c>
      <c r="O250" t="s">
        <v>321</v>
      </c>
      <c r="P250" t="s">
        <v>570</v>
      </c>
    </row>
    <row r="251" spans="1:16" x14ac:dyDescent="0.3">
      <c r="A251" s="6" t="s">
        <v>248</v>
      </c>
      <c r="B251" s="30">
        <v>88</v>
      </c>
      <c r="C251" s="92">
        <v>17</v>
      </c>
      <c r="D251" s="68" t="s">
        <v>303</v>
      </c>
      <c r="E251" s="53">
        <v>18658.867699999999</v>
      </c>
      <c r="F251" s="53">
        <v>224706.68789999999</v>
      </c>
      <c r="G251" s="42">
        <v>749.868304982533</v>
      </c>
      <c r="H251" s="42">
        <v>766.868304982533</v>
      </c>
      <c r="I251" s="78">
        <f t="shared" si="5"/>
        <v>767.78530498253303</v>
      </c>
      <c r="J251" t="s">
        <v>310</v>
      </c>
      <c r="K251" s="99">
        <v>0</v>
      </c>
      <c r="L251" t="s">
        <v>315</v>
      </c>
      <c r="M251" t="s">
        <v>317</v>
      </c>
      <c r="N251">
        <v>3000</v>
      </c>
      <c r="O251" t="s">
        <v>321</v>
      </c>
      <c r="P251" t="s">
        <v>571</v>
      </c>
    </row>
    <row r="252" spans="1:16" x14ac:dyDescent="0.3">
      <c r="A252" s="6" t="s">
        <v>249</v>
      </c>
      <c r="B252" s="30">
        <v>88</v>
      </c>
      <c r="C252" s="92">
        <v>17</v>
      </c>
      <c r="D252" s="68" t="s">
        <v>303</v>
      </c>
      <c r="E252" s="53">
        <v>18657.032500000001</v>
      </c>
      <c r="F252" s="53">
        <v>224704.16399999999</v>
      </c>
      <c r="G252" s="42">
        <v>749.90663881973103</v>
      </c>
      <c r="H252" s="42">
        <v>766.90663881973103</v>
      </c>
      <c r="I252" s="78">
        <f t="shared" si="5"/>
        <v>767.82363881973106</v>
      </c>
      <c r="J252" t="s">
        <v>310</v>
      </c>
      <c r="K252" s="99">
        <v>0</v>
      </c>
      <c r="L252" t="s">
        <v>315</v>
      </c>
      <c r="M252" t="s">
        <v>317</v>
      </c>
      <c r="N252">
        <v>3000</v>
      </c>
      <c r="O252" t="s">
        <v>321</v>
      </c>
      <c r="P252" t="s">
        <v>572</v>
      </c>
    </row>
    <row r="253" spans="1:16" x14ac:dyDescent="0.3">
      <c r="A253" s="6" t="s">
        <v>250</v>
      </c>
      <c r="B253" s="30">
        <v>88</v>
      </c>
      <c r="C253" s="92">
        <v>17</v>
      </c>
      <c r="D253" s="68" t="s">
        <v>303</v>
      </c>
      <c r="E253" s="53">
        <v>18655.1976</v>
      </c>
      <c r="F253" s="53">
        <v>224701.64</v>
      </c>
      <c r="G253" s="42">
        <v>749.94521909743401</v>
      </c>
      <c r="H253" s="42">
        <v>766.94521909743401</v>
      </c>
      <c r="I253" s="78">
        <f t="shared" si="5"/>
        <v>767.86221909743404</v>
      </c>
      <c r="J253" t="s">
        <v>310</v>
      </c>
      <c r="K253" s="99">
        <v>0</v>
      </c>
      <c r="L253" t="s">
        <v>315</v>
      </c>
      <c r="M253" t="s">
        <v>317</v>
      </c>
      <c r="N253">
        <v>3000</v>
      </c>
      <c r="O253" t="s">
        <v>321</v>
      </c>
      <c r="P253" t="s">
        <v>573</v>
      </c>
    </row>
    <row r="254" spans="1:16" x14ac:dyDescent="0.3">
      <c r="A254" s="6" t="s">
        <v>251</v>
      </c>
      <c r="B254" s="30">
        <v>88</v>
      </c>
      <c r="C254" s="92">
        <v>17</v>
      </c>
      <c r="D254" s="68" t="s">
        <v>303</v>
      </c>
      <c r="E254" s="53">
        <v>18653.363000000001</v>
      </c>
      <c r="F254" s="53">
        <v>224699.1158</v>
      </c>
      <c r="G254" s="42">
        <v>749.98404581564398</v>
      </c>
      <c r="H254" s="42">
        <v>766.98404581564398</v>
      </c>
      <c r="I254" s="78">
        <f t="shared" si="5"/>
        <v>767.90104581564401</v>
      </c>
      <c r="J254" t="s">
        <v>310</v>
      </c>
      <c r="K254" s="99">
        <v>0</v>
      </c>
      <c r="L254" t="s">
        <v>315</v>
      </c>
      <c r="M254" t="s">
        <v>317</v>
      </c>
      <c r="N254">
        <v>3000</v>
      </c>
      <c r="O254" t="s">
        <v>321</v>
      </c>
      <c r="P254" t="s">
        <v>574</v>
      </c>
    </row>
    <row r="255" spans="1:16" ht="15" thickBot="1" x14ac:dyDescent="0.35">
      <c r="A255" s="15" t="s">
        <v>252</v>
      </c>
      <c r="B255" s="38">
        <v>88</v>
      </c>
      <c r="C255" s="95">
        <v>17</v>
      </c>
      <c r="D255" s="73" t="s">
        <v>303</v>
      </c>
      <c r="E255" s="61">
        <v>18651.528699999999</v>
      </c>
      <c r="F255" s="61">
        <v>224696.59160000001</v>
      </c>
      <c r="G255" s="50">
        <v>750.02311897436005</v>
      </c>
      <c r="H255" s="50">
        <v>767.02311897436005</v>
      </c>
      <c r="I255" s="86">
        <f t="shared" si="5"/>
        <v>767.94011897436008</v>
      </c>
      <c r="J255" t="s">
        <v>310</v>
      </c>
      <c r="K255" s="99">
        <v>0</v>
      </c>
      <c r="L255" t="s">
        <v>315</v>
      </c>
      <c r="M255" t="s">
        <v>317</v>
      </c>
      <c r="N255">
        <v>3000</v>
      </c>
      <c r="O255" t="s">
        <v>321</v>
      </c>
      <c r="P255" t="s">
        <v>575</v>
      </c>
    </row>
    <row r="256" spans="1:16" ht="15" customHeight="1" x14ac:dyDescent="0.3">
      <c r="A256" s="25" t="s">
        <v>253</v>
      </c>
      <c r="B256" s="35">
        <v>88</v>
      </c>
      <c r="C256" s="91">
        <v>18</v>
      </c>
      <c r="D256" s="70" t="s">
        <v>303</v>
      </c>
      <c r="E256" s="58">
        <v>18649.670999999998</v>
      </c>
      <c r="F256" s="58">
        <v>224694.035</v>
      </c>
      <c r="G256" s="47">
        <v>749.06294427100897</v>
      </c>
      <c r="H256" s="47">
        <v>767.06294427100897</v>
      </c>
      <c r="I256" s="83">
        <f t="shared" si="5"/>
        <v>767.979944271009</v>
      </c>
      <c r="J256" t="s">
        <v>310</v>
      </c>
      <c r="K256" s="99">
        <v>0</v>
      </c>
      <c r="L256" t="s">
        <v>315</v>
      </c>
      <c r="M256" t="s">
        <v>317</v>
      </c>
      <c r="N256">
        <v>3000</v>
      </c>
      <c r="O256" t="s">
        <v>321</v>
      </c>
      <c r="P256" t="s">
        <v>576</v>
      </c>
    </row>
    <row r="257" spans="1:16" x14ac:dyDescent="0.3">
      <c r="A257" s="21" t="s">
        <v>254</v>
      </c>
      <c r="B257" s="33">
        <v>88</v>
      </c>
      <c r="C257" s="92">
        <v>18</v>
      </c>
      <c r="D257" s="65" t="s">
        <v>303</v>
      </c>
      <c r="E257" s="56">
        <v>18647.837</v>
      </c>
      <c r="F257" s="56">
        <v>224691.51079999999</v>
      </c>
      <c r="G257" s="45">
        <v>749.102513470232</v>
      </c>
      <c r="H257" s="45">
        <v>767.102513470232</v>
      </c>
      <c r="I257" s="81">
        <f t="shared" si="5"/>
        <v>768.01951347023203</v>
      </c>
      <c r="J257" t="s">
        <v>310</v>
      </c>
      <c r="K257" s="99">
        <v>0</v>
      </c>
      <c r="L257" t="s">
        <v>315</v>
      </c>
      <c r="M257" t="s">
        <v>317</v>
      </c>
      <c r="N257">
        <v>3000</v>
      </c>
      <c r="O257" t="s">
        <v>321</v>
      </c>
      <c r="P257" t="s">
        <v>577</v>
      </c>
    </row>
    <row r="258" spans="1:16" x14ac:dyDescent="0.3">
      <c r="A258" s="21" t="s">
        <v>255</v>
      </c>
      <c r="B258" s="33">
        <v>88</v>
      </c>
      <c r="C258" s="92">
        <v>18</v>
      </c>
      <c r="D258" s="65" t="s">
        <v>303</v>
      </c>
      <c r="E258" s="56">
        <v>18646.003100000002</v>
      </c>
      <c r="F258" s="56">
        <v>224688.9866</v>
      </c>
      <c r="G258" s="45">
        <v>749.142329109961</v>
      </c>
      <c r="H258" s="45">
        <v>767.142329109961</v>
      </c>
      <c r="I258" s="81">
        <f t="shared" si="5"/>
        <v>768.05932910996103</v>
      </c>
      <c r="J258" t="s">
        <v>310</v>
      </c>
      <c r="K258" s="99">
        <v>0</v>
      </c>
      <c r="L258" t="s">
        <v>315</v>
      </c>
      <c r="M258" t="s">
        <v>317</v>
      </c>
      <c r="N258">
        <v>3000</v>
      </c>
      <c r="O258" t="s">
        <v>321</v>
      </c>
      <c r="P258" t="s">
        <v>578</v>
      </c>
    </row>
    <row r="259" spans="1:16" x14ac:dyDescent="0.3">
      <c r="A259" s="21" t="s">
        <v>256</v>
      </c>
      <c r="B259" s="33">
        <v>88</v>
      </c>
      <c r="C259" s="92">
        <v>18</v>
      </c>
      <c r="D259" s="65" t="s">
        <v>303</v>
      </c>
      <c r="E259" s="56">
        <v>18644.516100000001</v>
      </c>
      <c r="F259" s="56">
        <v>224686.93969999999</v>
      </c>
      <c r="G259" s="45">
        <v>749.17479645316303</v>
      </c>
      <c r="H259" s="45">
        <v>767.17479645316303</v>
      </c>
      <c r="I259" s="81">
        <f t="shared" si="5"/>
        <v>768.09179645316306</v>
      </c>
      <c r="J259" t="s">
        <v>310</v>
      </c>
      <c r="K259" s="99">
        <v>0</v>
      </c>
      <c r="L259" t="s">
        <v>315</v>
      </c>
      <c r="M259" t="s">
        <v>317</v>
      </c>
      <c r="N259">
        <v>3000</v>
      </c>
      <c r="O259" t="s">
        <v>321</v>
      </c>
      <c r="P259" t="s">
        <v>579</v>
      </c>
    </row>
    <row r="260" spans="1:16" x14ac:dyDescent="0.3">
      <c r="A260" s="21" t="s">
        <v>257</v>
      </c>
      <c r="B260" s="33">
        <v>88</v>
      </c>
      <c r="C260" s="92">
        <v>18</v>
      </c>
      <c r="D260" s="65" t="s">
        <v>303</v>
      </c>
      <c r="E260" s="56">
        <v>18640.137200000001</v>
      </c>
      <c r="F260" s="56">
        <v>224680.9124</v>
      </c>
      <c r="G260" s="45">
        <f>H260-C260</f>
        <v>749.27099999999996</v>
      </c>
      <c r="H260" s="89">
        <v>767.27099999999996</v>
      </c>
      <c r="I260" s="81">
        <f t="shared" si="5"/>
        <v>768.18799999999999</v>
      </c>
      <c r="J260" t="s">
        <v>310</v>
      </c>
      <c r="K260" s="99">
        <v>0</v>
      </c>
      <c r="L260" t="s">
        <v>315</v>
      </c>
      <c r="M260" t="s">
        <v>317</v>
      </c>
      <c r="N260">
        <v>3000</v>
      </c>
      <c r="O260" t="s">
        <v>321</v>
      </c>
      <c r="P260" t="s">
        <v>580</v>
      </c>
    </row>
    <row r="261" spans="1:16" x14ac:dyDescent="0.3">
      <c r="A261" s="21" t="s">
        <v>258</v>
      </c>
      <c r="B261" s="33">
        <v>88</v>
      </c>
      <c r="C261" s="92">
        <v>18</v>
      </c>
      <c r="D261" s="65" t="s">
        <v>303</v>
      </c>
      <c r="E261" s="56">
        <v>18638.667799999999</v>
      </c>
      <c r="F261" s="56">
        <v>224678.88990000001</v>
      </c>
      <c r="G261" s="45">
        <v>749.30405607394005</v>
      </c>
      <c r="H261" s="45">
        <v>767.30405607394005</v>
      </c>
      <c r="I261" s="81">
        <f t="shared" si="5"/>
        <v>768.22105607394008</v>
      </c>
      <c r="J261" t="s">
        <v>310</v>
      </c>
      <c r="K261" s="99">
        <v>0</v>
      </c>
      <c r="L261" t="s">
        <v>315</v>
      </c>
      <c r="M261" t="s">
        <v>317</v>
      </c>
      <c r="N261">
        <v>3000</v>
      </c>
      <c r="O261" t="s">
        <v>321</v>
      </c>
      <c r="P261" t="s">
        <v>581</v>
      </c>
    </row>
    <row r="262" spans="1:16" ht="15" thickBot="1" x14ac:dyDescent="0.35">
      <c r="A262" s="27" t="s">
        <v>259</v>
      </c>
      <c r="B262" s="36">
        <v>88</v>
      </c>
      <c r="C262" s="93">
        <v>18</v>
      </c>
      <c r="D262" s="71" t="s">
        <v>303</v>
      </c>
      <c r="E262" s="59">
        <v>18636.833900000001</v>
      </c>
      <c r="F262" s="59">
        <v>224676.36569999999</v>
      </c>
      <c r="G262" s="48">
        <v>749.34510391620097</v>
      </c>
      <c r="H262" s="48">
        <v>767.34510391620097</v>
      </c>
      <c r="I262" s="84">
        <f t="shared" si="5"/>
        <v>768.262103916201</v>
      </c>
      <c r="J262" t="s">
        <v>310</v>
      </c>
      <c r="K262" s="99">
        <v>0</v>
      </c>
      <c r="L262" t="s">
        <v>315</v>
      </c>
      <c r="M262" t="s">
        <v>317</v>
      </c>
      <c r="N262">
        <v>3000</v>
      </c>
      <c r="O262" t="s">
        <v>321</v>
      </c>
      <c r="P262" t="s">
        <v>582</v>
      </c>
    </row>
    <row r="263" spans="1:16" ht="15" customHeight="1" x14ac:dyDescent="0.3">
      <c r="A263" s="13" t="s">
        <v>260</v>
      </c>
      <c r="B263" s="37">
        <v>88</v>
      </c>
      <c r="C263" s="94">
        <v>18</v>
      </c>
      <c r="D263" s="72" t="s">
        <v>303</v>
      </c>
      <c r="E263" s="60">
        <v>18634.976600000002</v>
      </c>
      <c r="F263" s="60">
        <v>224673.80919999999</v>
      </c>
      <c r="G263" s="49">
        <v>749.38692921284905</v>
      </c>
      <c r="H263" s="49">
        <v>767.38692921284905</v>
      </c>
      <c r="I263" s="85">
        <f t="shared" si="5"/>
        <v>768.30392921284908</v>
      </c>
      <c r="J263" t="s">
        <v>310</v>
      </c>
      <c r="K263" s="99">
        <v>0</v>
      </c>
      <c r="L263" t="s">
        <v>315</v>
      </c>
      <c r="M263" t="s">
        <v>317</v>
      </c>
      <c r="N263">
        <v>3000</v>
      </c>
      <c r="O263" t="s">
        <v>321</v>
      </c>
      <c r="P263" t="s">
        <v>583</v>
      </c>
    </row>
    <row r="264" spans="1:16" x14ac:dyDescent="0.3">
      <c r="A264" s="6" t="s">
        <v>261</v>
      </c>
      <c r="B264" s="30">
        <v>88</v>
      </c>
      <c r="C264" s="92">
        <v>18</v>
      </c>
      <c r="D264" s="68" t="s">
        <v>303</v>
      </c>
      <c r="E264" s="53">
        <v>18633.142800000001</v>
      </c>
      <c r="F264" s="53">
        <v>224671.285</v>
      </c>
      <c r="G264" s="42">
        <v>749.42847309561705</v>
      </c>
      <c r="H264" s="42">
        <v>767.42847309561705</v>
      </c>
      <c r="I264" s="78">
        <f t="shared" ref="I264:I292" si="6">H264+0.917</f>
        <v>768.34547309561708</v>
      </c>
      <c r="J264" t="s">
        <v>310</v>
      </c>
      <c r="K264" s="99">
        <v>0</v>
      </c>
      <c r="L264" t="s">
        <v>315</v>
      </c>
      <c r="M264" t="s">
        <v>317</v>
      </c>
      <c r="N264">
        <v>3000</v>
      </c>
      <c r="O264" t="s">
        <v>321</v>
      </c>
      <c r="P264" t="s">
        <v>584</v>
      </c>
    </row>
    <row r="265" spans="1:16" x14ac:dyDescent="0.3">
      <c r="A265" s="6" t="s">
        <v>262</v>
      </c>
      <c r="B265" s="30">
        <v>88</v>
      </c>
      <c r="C265" s="92">
        <v>18</v>
      </c>
      <c r="D265" s="68" t="s">
        <v>303</v>
      </c>
      <c r="E265" s="53">
        <v>18631.3089</v>
      </c>
      <c r="F265" s="53">
        <v>224668.76079999999</v>
      </c>
      <c r="G265" s="42">
        <v>749.47026341889</v>
      </c>
      <c r="H265" s="42">
        <v>767.47026341889</v>
      </c>
      <c r="I265" s="78">
        <f t="shared" si="6"/>
        <v>768.38726341889003</v>
      </c>
      <c r="J265" t="s">
        <v>310</v>
      </c>
      <c r="K265" s="99">
        <v>0</v>
      </c>
      <c r="L265" t="s">
        <v>315</v>
      </c>
      <c r="M265" t="s">
        <v>317</v>
      </c>
      <c r="N265">
        <v>3000</v>
      </c>
      <c r="O265" t="s">
        <v>321</v>
      </c>
      <c r="P265" t="s">
        <v>585</v>
      </c>
    </row>
    <row r="266" spans="1:16" x14ac:dyDescent="0.3">
      <c r="A266" s="6" t="s">
        <v>263</v>
      </c>
      <c r="B266" s="30">
        <v>88</v>
      </c>
      <c r="C266" s="92">
        <v>18</v>
      </c>
      <c r="D266" s="68" t="s">
        <v>303</v>
      </c>
      <c r="E266" s="53">
        <v>18629.4751</v>
      </c>
      <c r="F266" s="53">
        <v>224666.2366</v>
      </c>
      <c r="G266" s="42">
        <v>749.51230018266995</v>
      </c>
      <c r="H266" s="42">
        <v>767.51230018266995</v>
      </c>
      <c r="I266" s="78">
        <f t="shared" si="6"/>
        <v>768.42930018266998</v>
      </c>
      <c r="J266" t="s">
        <v>310</v>
      </c>
      <c r="K266" s="99">
        <v>0</v>
      </c>
      <c r="L266" t="s">
        <v>315</v>
      </c>
      <c r="M266" t="s">
        <v>317</v>
      </c>
      <c r="N266">
        <v>3000</v>
      </c>
      <c r="O266" t="s">
        <v>321</v>
      </c>
      <c r="P266" t="s">
        <v>586</v>
      </c>
    </row>
    <row r="267" spans="1:16" x14ac:dyDescent="0.3">
      <c r="A267" s="6" t="s">
        <v>264</v>
      </c>
      <c r="B267" s="30">
        <v>88</v>
      </c>
      <c r="C267" s="92">
        <v>18</v>
      </c>
      <c r="D267" s="68" t="s">
        <v>303</v>
      </c>
      <c r="E267" s="53">
        <v>18627.641299999999</v>
      </c>
      <c r="F267" s="53">
        <v>224663.71249999999</v>
      </c>
      <c r="G267" s="42">
        <v>749.55458338695598</v>
      </c>
      <c r="H267" s="42">
        <v>767.55458338695598</v>
      </c>
      <c r="I267" s="78">
        <f t="shared" si="6"/>
        <v>768.47158338695601</v>
      </c>
      <c r="J267" t="s">
        <v>310</v>
      </c>
      <c r="K267" s="99">
        <v>0</v>
      </c>
      <c r="L267" t="s">
        <v>315</v>
      </c>
      <c r="M267" t="s">
        <v>317</v>
      </c>
      <c r="N267">
        <v>3000</v>
      </c>
      <c r="O267" t="s">
        <v>321</v>
      </c>
      <c r="P267" t="s">
        <v>587</v>
      </c>
    </row>
    <row r="268" spans="1:16" x14ac:dyDescent="0.3">
      <c r="A268" s="6" t="s">
        <v>265</v>
      </c>
      <c r="B268" s="30">
        <v>88</v>
      </c>
      <c r="C268" s="92">
        <v>18</v>
      </c>
      <c r="D268" s="68" t="s">
        <v>303</v>
      </c>
      <c r="E268" s="53">
        <v>18625.807400000002</v>
      </c>
      <c r="F268" s="53">
        <v>224661.18830000001</v>
      </c>
      <c r="G268" s="42">
        <v>749.59711303174902</v>
      </c>
      <c r="H268" s="42">
        <v>767.59711303174902</v>
      </c>
      <c r="I268" s="78">
        <f t="shared" si="6"/>
        <v>768.51411303174905</v>
      </c>
      <c r="J268" t="s">
        <v>310</v>
      </c>
      <c r="K268" s="99">
        <v>0</v>
      </c>
      <c r="L268" t="s">
        <v>315</v>
      </c>
      <c r="M268" t="s">
        <v>317</v>
      </c>
      <c r="N268">
        <v>3000</v>
      </c>
      <c r="O268" t="s">
        <v>321</v>
      </c>
      <c r="P268" t="s">
        <v>588</v>
      </c>
    </row>
    <row r="269" spans="1:16" x14ac:dyDescent="0.3">
      <c r="A269" s="6" t="s">
        <v>266</v>
      </c>
      <c r="B269" s="30">
        <v>88</v>
      </c>
      <c r="C269" s="92">
        <v>18</v>
      </c>
      <c r="D269" s="68" t="s">
        <v>303</v>
      </c>
      <c r="E269" s="53">
        <v>18623.973600000001</v>
      </c>
      <c r="F269" s="53">
        <v>224658.66409999999</v>
      </c>
      <c r="G269" s="42">
        <v>749.63988911704803</v>
      </c>
      <c r="H269" s="42">
        <v>767.63988911704803</v>
      </c>
      <c r="I269" s="78">
        <f t="shared" si="6"/>
        <v>768.55688911704806</v>
      </c>
      <c r="J269" t="s">
        <v>310</v>
      </c>
      <c r="K269" s="99">
        <v>0</v>
      </c>
      <c r="L269" t="s">
        <v>315</v>
      </c>
      <c r="M269" t="s">
        <v>317</v>
      </c>
      <c r="N269">
        <v>3000</v>
      </c>
      <c r="O269" t="s">
        <v>321</v>
      </c>
      <c r="P269" t="s">
        <v>589</v>
      </c>
    </row>
    <row r="270" spans="1:16" ht="15" thickBot="1" x14ac:dyDescent="0.35">
      <c r="A270" s="15" t="s">
        <v>267</v>
      </c>
      <c r="B270" s="38">
        <v>88</v>
      </c>
      <c r="C270" s="95">
        <v>18</v>
      </c>
      <c r="D270" s="73" t="s">
        <v>303</v>
      </c>
      <c r="E270" s="61">
        <v>18622.1397</v>
      </c>
      <c r="F270" s="61">
        <v>224656.13990000001</v>
      </c>
      <c r="G270" s="50">
        <v>749.68291164285301</v>
      </c>
      <c r="H270" s="50">
        <v>767.68291164285301</v>
      </c>
      <c r="I270" s="86">
        <f t="shared" si="6"/>
        <v>768.59991164285304</v>
      </c>
      <c r="J270" t="s">
        <v>310</v>
      </c>
      <c r="K270" s="99">
        <v>0</v>
      </c>
      <c r="L270" t="s">
        <v>315</v>
      </c>
      <c r="M270" t="s">
        <v>317</v>
      </c>
      <c r="N270">
        <v>3000</v>
      </c>
      <c r="O270" t="s">
        <v>321</v>
      </c>
      <c r="P270" t="s">
        <v>590</v>
      </c>
    </row>
    <row r="271" spans="1:16" ht="15" customHeight="1" x14ac:dyDescent="0.3">
      <c r="A271" s="25" t="s">
        <v>268</v>
      </c>
      <c r="B271" s="35">
        <v>88</v>
      </c>
      <c r="C271" s="26">
        <v>18</v>
      </c>
      <c r="D271" s="70" t="s">
        <v>303</v>
      </c>
      <c r="E271" s="58">
        <v>18620.2824</v>
      </c>
      <c r="F271" s="58">
        <v>224653.5834</v>
      </c>
      <c r="G271" s="47">
        <v>749.72673693950196</v>
      </c>
      <c r="H271" s="47">
        <v>767.72673693950196</v>
      </c>
      <c r="I271" s="83">
        <f t="shared" si="6"/>
        <v>768.64373693950199</v>
      </c>
      <c r="J271" t="s">
        <v>310</v>
      </c>
      <c r="K271" s="99">
        <v>0</v>
      </c>
      <c r="L271" t="s">
        <v>315</v>
      </c>
      <c r="M271" t="s">
        <v>317</v>
      </c>
      <c r="N271">
        <v>3000</v>
      </c>
      <c r="O271" t="s">
        <v>321</v>
      </c>
      <c r="P271" t="s">
        <v>591</v>
      </c>
    </row>
    <row r="272" spans="1:16" x14ac:dyDescent="0.3">
      <c r="A272" s="21" t="s">
        <v>269</v>
      </c>
      <c r="B272" s="33">
        <v>88</v>
      </c>
      <c r="C272" s="22">
        <v>18</v>
      </c>
      <c r="D272" s="65" t="s">
        <v>303</v>
      </c>
      <c r="E272" s="56">
        <v>18618.595499999999</v>
      </c>
      <c r="F272" s="56">
        <v>224651.26149999999</v>
      </c>
      <c r="G272" s="45">
        <v>749.76675935892604</v>
      </c>
      <c r="H272" s="45">
        <v>767.76675935892695</v>
      </c>
      <c r="I272" s="81">
        <f t="shared" si="6"/>
        <v>768.68375935892698</v>
      </c>
      <c r="J272" t="s">
        <v>310</v>
      </c>
      <c r="K272" s="99">
        <v>0</v>
      </c>
      <c r="L272" t="s">
        <v>315</v>
      </c>
      <c r="M272" t="s">
        <v>317</v>
      </c>
      <c r="N272">
        <v>3000</v>
      </c>
      <c r="O272" t="s">
        <v>321</v>
      </c>
      <c r="P272" t="s">
        <v>592</v>
      </c>
    </row>
    <row r="273" spans="1:16" x14ac:dyDescent="0.3">
      <c r="A273" s="21" t="s">
        <v>270</v>
      </c>
      <c r="B273" s="33">
        <v>88</v>
      </c>
      <c r="C273" s="22">
        <v>18</v>
      </c>
      <c r="D273" s="65" t="s">
        <v>303</v>
      </c>
      <c r="E273" s="56">
        <v>18616.467799999999</v>
      </c>
      <c r="F273" s="56">
        <v>224648.3328</v>
      </c>
      <c r="G273" s="45">
        <v>749.81753798863201</v>
      </c>
      <c r="H273" s="45">
        <v>767.81753798863201</v>
      </c>
      <c r="I273" s="81">
        <f t="shared" si="6"/>
        <v>768.73453798863204</v>
      </c>
      <c r="J273" t="s">
        <v>310</v>
      </c>
      <c r="K273" s="99">
        <v>0</v>
      </c>
      <c r="L273" t="s">
        <v>315</v>
      </c>
      <c r="M273" t="s">
        <v>317</v>
      </c>
      <c r="N273">
        <v>3000</v>
      </c>
      <c r="O273" t="s">
        <v>321</v>
      </c>
      <c r="P273" t="s">
        <v>593</v>
      </c>
    </row>
    <row r="274" spans="1:16" x14ac:dyDescent="0.3">
      <c r="A274" s="21" t="s">
        <v>271</v>
      </c>
      <c r="B274" s="33">
        <v>88</v>
      </c>
      <c r="C274" s="22">
        <v>18</v>
      </c>
      <c r="D274" s="65" t="s">
        <v>303</v>
      </c>
      <c r="E274" s="56">
        <v>18614.780900000002</v>
      </c>
      <c r="F274" s="56">
        <v>224646.01089999999</v>
      </c>
      <c r="G274" s="45">
        <v>749.85803195995595</v>
      </c>
      <c r="H274" s="45">
        <v>767.85803195995595</v>
      </c>
      <c r="I274" s="81">
        <f t="shared" si="6"/>
        <v>768.77503195995598</v>
      </c>
      <c r="J274" t="s">
        <v>310</v>
      </c>
      <c r="K274" s="99">
        <v>0</v>
      </c>
      <c r="L274" t="s">
        <v>315</v>
      </c>
      <c r="M274" t="s">
        <v>317</v>
      </c>
      <c r="N274">
        <v>3000</v>
      </c>
      <c r="O274" t="s">
        <v>321</v>
      </c>
      <c r="P274" t="s">
        <v>594</v>
      </c>
    </row>
    <row r="275" spans="1:16" x14ac:dyDescent="0.3">
      <c r="A275" s="21" t="s">
        <v>272</v>
      </c>
      <c r="B275" s="33">
        <v>88</v>
      </c>
      <c r="C275" s="22">
        <v>18</v>
      </c>
      <c r="D275" s="65" t="s">
        <v>303</v>
      </c>
      <c r="E275" s="56">
        <v>18612.947100000001</v>
      </c>
      <c r="F275" s="56">
        <v>224643.48670000001</v>
      </c>
      <c r="G275" s="45">
        <v>749.90228984778605</v>
      </c>
      <c r="H275" s="45">
        <v>767.90228984778605</v>
      </c>
      <c r="I275" s="81">
        <f t="shared" si="6"/>
        <v>768.81928984778608</v>
      </c>
      <c r="J275" t="s">
        <v>310</v>
      </c>
      <c r="K275" s="99">
        <v>0</v>
      </c>
      <c r="L275" t="s">
        <v>315</v>
      </c>
      <c r="M275" t="s">
        <v>317</v>
      </c>
      <c r="N275">
        <v>3000</v>
      </c>
      <c r="O275" t="s">
        <v>321</v>
      </c>
      <c r="P275" t="s">
        <v>595</v>
      </c>
    </row>
    <row r="276" spans="1:16" x14ac:dyDescent="0.3">
      <c r="A276" s="21" t="s">
        <v>273</v>
      </c>
      <c r="B276" s="33">
        <v>88</v>
      </c>
      <c r="C276" s="22">
        <v>18</v>
      </c>
      <c r="D276" s="65" t="s">
        <v>303</v>
      </c>
      <c r="E276" s="56">
        <v>18611.1132</v>
      </c>
      <c r="F276" s="56">
        <v>224640.96249999999</v>
      </c>
      <c r="G276" s="45">
        <v>749.94679417612303</v>
      </c>
      <c r="H276" s="45">
        <v>767.94679417612303</v>
      </c>
      <c r="I276" s="81">
        <f t="shared" si="6"/>
        <v>768.86379417612306</v>
      </c>
      <c r="J276" t="s">
        <v>310</v>
      </c>
      <c r="K276" s="99">
        <v>0</v>
      </c>
      <c r="L276" t="s">
        <v>315</v>
      </c>
      <c r="M276" t="s">
        <v>317</v>
      </c>
      <c r="N276">
        <v>3000</v>
      </c>
      <c r="O276" t="s">
        <v>321</v>
      </c>
      <c r="P276" t="s">
        <v>596</v>
      </c>
    </row>
    <row r="277" spans="1:16" x14ac:dyDescent="0.3">
      <c r="A277" s="21" t="s">
        <v>274</v>
      </c>
      <c r="B277" s="33">
        <v>88</v>
      </c>
      <c r="C277" s="22">
        <v>18</v>
      </c>
      <c r="D277" s="65" t="s">
        <v>303</v>
      </c>
      <c r="E277" s="56">
        <v>18609.279399999999</v>
      </c>
      <c r="F277" s="56">
        <v>224638.43840000001</v>
      </c>
      <c r="G277" s="45">
        <v>749.99154494496702</v>
      </c>
      <c r="H277" s="45">
        <v>767.99154494496702</v>
      </c>
      <c r="I277" s="81">
        <f t="shared" si="6"/>
        <v>768.90854494496705</v>
      </c>
      <c r="J277" t="s">
        <v>310</v>
      </c>
      <c r="K277" s="99">
        <v>0</v>
      </c>
      <c r="L277" t="s">
        <v>315</v>
      </c>
      <c r="M277" t="s">
        <v>317</v>
      </c>
      <c r="N277">
        <v>3000</v>
      </c>
      <c r="O277" t="s">
        <v>321</v>
      </c>
      <c r="P277" t="s">
        <v>597</v>
      </c>
    </row>
    <row r="278" spans="1:16" ht="15" thickBot="1" x14ac:dyDescent="0.35">
      <c r="A278" s="27" t="s">
        <v>275</v>
      </c>
      <c r="B278" s="36">
        <v>88</v>
      </c>
      <c r="C278" s="28">
        <v>18</v>
      </c>
      <c r="D278" s="71" t="s">
        <v>303</v>
      </c>
      <c r="E278" s="59">
        <v>18607.445599999999</v>
      </c>
      <c r="F278" s="59">
        <v>224635.9142</v>
      </c>
      <c r="G278" s="48">
        <v>750.03654215431595</v>
      </c>
      <c r="H278" s="48">
        <v>768.03654215431595</v>
      </c>
      <c r="I278" s="84">
        <f t="shared" si="6"/>
        <v>768.95354215431598</v>
      </c>
      <c r="J278" t="s">
        <v>310</v>
      </c>
      <c r="K278" s="99">
        <v>0</v>
      </c>
      <c r="L278" t="s">
        <v>315</v>
      </c>
      <c r="M278" t="s">
        <v>317</v>
      </c>
      <c r="N278">
        <v>3000</v>
      </c>
      <c r="O278" t="s">
        <v>321</v>
      </c>
      <c r="P278" t="s">
        <v>598</v>
      </c>
    </row>
    <row r="279" spans="1:16" ht="15" customHeight="1" x14ac:dyDescent="0.3">
      <c r="A279" s="13" t="s">
        <v>276</v>
      </c>
      <c r="B279" s="37">
        <v>88</v>
      </c>
      <c r="C279" s="14">
        <v>16</v>
      </c>
      <c r="D279" s="72" t="s">
        <v>303</v>
      </c>
      <c r="E279" s="60">
        <v>18605.958500000001</v>
      </c>
      <c r="F279" s="60">
        <v>224633.86739999999</v>
      </c>
      <c r="G279" s="49">
        <f>H279-C279</f>
        <v>752.07399999999996</v>
      </c>
      <c r="H279" s="87">
        <v>768.07399999999996</v>
      </c>
      <c r="I279" s="85">
        <f t="shared" si="6"/>
        <v>768.99099999999999</v>
      </c>
      <c r="J279" t="s">
        <v>310</v>
      </c>
      <c r="K279" s="99">
        <v>0</v>
      </c>
      <c r="L279" t="s">
        <v>315</v>
      </c>
      <c r="M279" t="s">
        <v>317</v>
      </c>
      <c r="N279">
        <v>3000</v>
      </c>
      <c r="O279" t="s">
        <v>321</v>
      </c>
      <c r="P279" t="s">
        <v>599</v>
      </c>
    </row>
    <row r="280" spans="1:16" x14ac:dyDescent="0.3">
      <c r="A280" s="6" t="s">
        <v>277</v>
      </c>
      <c r="B280" s="30">
        <v>88</v>
      </c>
      <c r="C280" s="7">
        <v>16</v>
      </c>
      <c r="D280" s="68" t="s">
        <v>303</v>
      </c>
      <c r="E280" s="53">
        <v>18599.692899999998</v>
      </c>
      <c r="F280" s="53">
        <v>224625.24309999999</v>
      </c>
      <c r="G280" s="42">
        <f>H280-C280</f>
        <v>752.23</v>
      </c>
      <c r="H280" s="88">
        <v>768.23</v>
      </c>
      <c r="I280" s="78">
        <f t="shared" si="6"/>
        <v>769.14700000000005</v>
      </c>
      <c r="J280" t="s">
        <v>310</v>
      </c>
      <c r="K280" s="99">
        <v>0</v>
      </c>
      <c r="L280" t="s">
        <v>315</v>
      </c>
      <c r="M280" t="s">
        <v>317</v>
      </c>
      <c r="N280">
        <v>3000</v>
      </c>
      <c r="O280" t="s">
        <v>321</v>
      </c>
      <c r="P280" t="s">
        <v>600</v>
      </c>
    </row>
    <row r="281" spans="1:16" x14ac:dyDescent="0.3">
      <c r="A281" s="6" t="s">
        <v>278</v>
      </c>
      <c r="B281" s="30">
        <v>88</v>
      </c>
      <c r="C281" s="7">
        <v>16</v>
      </c>
      <c r="D281" s="68" t="s">
        <v>303</v>
      </c>
      <c r="E281" s="53">
        <v>18598.252899999999</v>
      </c>
      <c r="F281" s="53">
        <v>224623.261</v>
      </c>
      <c r="G281" s="42">
        <v>752.26581909342804</v>
      </c>
      <c r="H281" s="42">
        <v>768.26581909342804</v>
      </c>
      <c r="I281" s="78">
        <f t="shared" si="6"/>
        <v>769.18281909342807</v>
      </c>
      <c r="J281" t="s">
        <v>310</v>
      </c>
      <c r="K281" s="99">
        <v>0</v>
      </c>
      <c r="L281" t="s">
        <v>315</v>
      </c>
      <c r="M281" t="s">
        <v>317</v>
      </c>
      <c r="N281">
        <v>3000</v>
      </c>
      <c r="O281" t="s">
        <v>321</v>
      </c>
      <c r="P281" t="s">
        <v>601</v>
      </c>
    </row>
    <row r="282" spans="1:16" x14ac:dyDescent="0.3">
      <c r="A282" s="6" t="s">
        <v>279</v>
      </c>
      <c r="B282" s="30">
        <v>88</v>
      </c>
      <c r="C282" s="7">
        <v>16</v>
      </c>
      <c r="D282" s="68" t="s">
        <v>303</v>
      </c>
      <c r="E282" s="53">
        <v>18596.419000000002</v>
      </c>
      <c r="F282" s="53">
        <v>224620.73680000001</v>
      </c>
      <c r="G282" s="42">
        <v>752.31229810530897</v>
      </c>
      <c r="H282" s="42">
        <v>768.31229810530897</v>
      </c>
      <c r="I282" s="78">
        <f t="shared" si="6"/>
        <v>769.229298105309</v>
      </c>
      <c r="J282" t="s">
        <v>310</v>
      </c>
      <c r="K282" s="99">
        <v>0</v>
      </c>
      <c r="L282" t="s">
        <v>315</v>
      </c>
      <c r="M282" t="s">
        <v>317</v>
      </c>
      <c r="N282">
        <v>3000</v>
      </c>
      <c r="O282" t="s">
        <v>321</v>
      </c>
      <c r="P282" t="s">
        <v>602</v>
      </c>
    </row>
    <row r="283" spans="1:16" x14ac:dyDescent="0.3">
      <c r="A283" s="6" t="s">
        <v>280</v>
      </c>
      <c r="B283" s="30">
        <v>88</v>
      </c>
      <c r="C283" s="7">
        <v>16</v>
      </c>
      <c r="D283" s="68" t="s">
        <v>303</v>
      </c>
      <c r="E283" s="53">
        <v>18594.585200000001</v>
      </c>
      <c r="F283" s="53">
        <v>224618.2126</v>
      </c>
      <c r="G283" s="42">
        <v>752.35901856092198</v>
      </c>
      <c r="H283" s="42">
        <v>768.35901856092198</v>
      </c>
      <c r="I283" s="78">
        <f t="shared" si="6"/>
        <v>769.27601856092201</v>
      </c>
      <c r="J283" t="s">
        <v>310</v>
      </c>
      <c r="K283" s="99">
        <v>0</v>
      </c>
      <c r="L283" t="s">
        <v>315</v>
      </c>
      <c r="M283" t="s">
        <v>317</v>
      </c>
      <c r="N283">
        <v>3000</v>
      </c>
      <c r="O283" t="s">
        <v>321</v>
      </c>
      <c r="P283" t="s">
        <v>603</v>
      </c>
    </row>
    <row r="284" spans="1:16" ht="15" thickBot="1" x14ac:dyDescent="0.35">
      <c r="A284" s="15" t="s">
        <v>281</v>
      </c>
      <c r="B284" s="38">
        <v>88</v>
      </c>
      <c r="C284" s="16">
        <v>16</v>
      </c>
      <c r="D284" s="73" t="s">
        <v>303</v>
      </c>
      <c r="E284" s="61">
        <v>18592.751400000001</v>
      </c>
      <c r="F284" s="61">
        <v>224615.68849999999</v>
      </c>
      <c r="G284" s="50">
        <v>752.40581760680095</v>
      </c>
      <c r="H284" s="50">
        <v>768.40581760680095</v>
      </c>
      <c r="I284" s="86">
        <f t="shared" si="6"/>
        <v>769.32281760680098</v>
      </c>
      <c r="J284" t="s">
        <v>310</v>
      </c>
      <c r="K284" s="99">
        <v>0</v>
      </c>
      <c r="L284" t="s">
        <v>315</v>
      </c>
      <c r="M284" t="s">
        <v>317</v>
      </c>
      <c r="N284">
        <v>3000</v>
      </c>
      <c r="O284" t="s">
        <v>321</v>
      </c>
      <c r="P284" t="s">
        <v>604</v>
      </c>
    </row>
    <row r="285" spans="1:16" ht="15" customHeight="1" x14ac:dyDescent="0.3">
      <c r="A285" s="25" t="s">
        <v>282</v>
      </c>
      <c r="B285" s="35">
        <v>88</v>
      </c>
      <c r="C285" s="26">
        <v>16</v>
      </c>
      <c r="D285" s="70" t="s">
        <v>303</v>
      </c>
      <c r="E285" s="58">
        <v>18590.894</v>
      </c>
      <c r="F285" s="58">
        <v>224613.13190000001</v>
      </c>
      <c r="G285" s="47">
        <v>752.45321664044695</v>
      </c>
      <c r="H285" s="47">
        <v>768.45321664044695</v>
      </c>
      <c r="I285" s="83">
        <f t="shared" si="6"/>
        <v>769.37021664044698</v>
      </c>
      <c r="J285" t="s">
        <v>310</v>
      </c>
      <c r="K285" s="99">
        <v>0</v>
      </c>
      <c r="L285" t="s">
        <v>315</v>
      </c>
      <c r="M285" t="s">
        <v>317</v>
      </c>
      <c r="N285">
        <v>3000</v>
      </c>
      <c r="O285" t="s">
        <v>321</v>
      </c>
      <c r="P285" t="s">
        <v>605</v>
      </c>
    </row>
    <row r="286" spans="1:16" x14ac:dyDescent="0.3">
      <c r="A286" s="21" t="s">
        <v>283</v>
      </c>
      <c r="B286" s="33">
        <v>88</v>
      </c>
      <c r="C286" s="22">
        <v>16</v>
      </c>
      <c r="D286" s="65" t="s">
        <v>303</v>
      </c>
      <c r="E286" s="56">
        <v>18589.0602</v>
      </c>
      <c r="F286" s="56">
        <v>224610.60769999999</v>
      </c>
      <c r="G286" s="45">
        <v>752.50001568632604</v>
      </c>
      <c r="H286" s="45">
        <v>768.50001568632604</v>
      </c>
      <c r="I286" s="81">
        <f t="shared" si="6"/>
        <v>769.41701568632607</v>
      </c>
      <c r="J286" t="s">
        <v>310</v>
      </c>
      <c r="K286" s="99">
        <v>0</v>
      </c>
      <c r="L286" t="s">
        <v>315</v>
      </c>
      <c r="M286" t="s">
        <v>317</v>
      </c>
      <c r="N286">
        <v>3000</v>
      </c>
      <c r="O286" t="s">
        <v>321</v>
      </c>
      <c r="P286" t="s">
        <v>606</v>
      </c>
    </row>
    <row r="287" spans="1:16" x14ac:dyDescent="0.3">
      <c r="A287" s="21" t="s">
        <v>284</v>
      </c>
      <c r="B287" s="33">
        <v>88</v>
      </c>
      <c r="C287" s="22">
        <v>16</v>
      </c>
      <c r="D287" s="65" t="s">
        <v>303</v>
      </c>
      <c r="E287" s="56">
        <v>18587.2264</v>
      </c>
      <c r="F287" s="56">
        <v>224608.08360000001</v>
      </c>
      <c r="G287" s="45">
        <v>752.54681473220501</v>
      </c>
      <c r="H287" s="45">
        <v>768.54681473220501</v>
      </c>
      <c r="I287" s="81">
        <f t="shared" si="6"/>
        <v>769.46381473220504</v>
      </c>
      <c r="J287" t="s">
        <v>310</v>
      </c>
      <c r="K287" s="99">
        <v>0</v>
      </c>
      <c r="L287" t="s">
        <v>315</v>
      </c>
      <c r="M287" t="s">
        <v>317</v>
      </c>
      <c r="N287">
        <v>3000</v>
      </c>
      <c r="O287" t="s">
        <v>321</v>
      </c>
      <c r="P287" t="s">
        <v>607</v>
      </c>
    </row>
    <row r="288" spans="1:16" x14ac:dyDescent="0.3">
      <c r="A288" s="21" t="s">
        <v>285</v>
      </c>
      <c r="B288" s="33">
        <v>88</v>
      </c>
      <c r="C288" s="22">
        <v>16</v>
      </c>
      <c r="D288" s="65" t="s">
        <v>303</v>
      </c>
      <c r="E288" s="56">
        <v>18585.392500000002</v>
      </c>
      <c r="F288" s="56">
        <v>224605.5594</v>
      </c>
      <c r="G288" s="45">
        <v>752.59361377808398</v>
      </c>
      <c r="H288" s="45">
        <v>768.59361377808295</v>
      </c>
      <c r="I288" s="81">
        <f t="shared" si="6"/>
        <v>769.51061377808298</v>
      </c>
      <c r="J288" t="s">
        <v>310</v>
      </c>
      <c r="K288" s="99">
        <v>0</v>
      </c>
      <c r="L288" t="s">
        <v>315</v>
      </c>
      <c r="M288" t="s">
        <v>317</v>
      </c>
      <c r="N288">
        <v>3000</v>
      </c>
      <c r="O288" t="s">
        <v>321</v>
      </c>
      <c r="P288" t="s">
        <v>608</v>
      </c>
    </row>
    <row r="289" spans="1:16" x14ac:dyDescent="0.3">
      <c r="A289" s="21" t="s">
        <v>286</v>
      </c>
      <c r="B289" s="33">
        <v>88</v>
      </c>
      <c r="C289" s="22">
        <v>16</v>
      </c>
      <c r="D289" s="65" t="s">
        <v>303</v>
      </c>
      <c r="E289" s="56">
        <v>18583.558700000001</v>
      </c>
      <c r="F289" s="56">
        <v>224603.03520000001</v>
      </c>
      <c r="G289" s="45">
        <v>752.64041282396204</v>
      </c>
      <c r="H289" s="45">
        <v>768.64041282396204</v>
      </c>
      <c r="I289" s="81">
        <f t="shared" si="6"/>
        <v>769.55741282396207</v>
      </c>
      <c r="J289" t="s">
        <v>310</v>
      </c>
      <c r="K289" s="99">
        <v>0</v>
      </c>
      <c r="L289" t="s">
        <v>315</v>
      </c>
      <c r="M289" t="s">
        <v>317</v>
      </c>
      <c r="N289">
        <v>3000</v>
      </c>
      <c r="O289" t="s">
        <v>321</v>
      </c>
      <c r="P289" t="s">
        <v>609</v>
      </c>
    </row>
    <row r="290" spans="1:16" x14ac:dyDescent="0.3">
      <c r="A290" s="21" t="s">
        <v>287</v>
      </c>
      <c r="B290" s="33">
        <v>88</v>
      </c>
      <c r="C290" s="22">
        <v>16</v>
      </c>
      <c r="D290" s="65" t="s">
        <v>303</v>
      </c>
      <c r="E290" s="56">
        <v>18581.724900000001</v>
      </c>
      <c r="F290" s="56">
        <v>224600.5111</v>
      </c>
      <c r="G290" s="45">
        <v>752.68721186984101</v>
      </c>
      <c r="H290" s="45">
        <v>768.68721186984101</v>
      </c>
      <c r="I290" s="81">
        <f t="shared" si="6"/>
        <v>769.60421186984104</v>
      </c>
      <c r="J290" t="s">
        <v>310</v>
      </c>
      <c r="K290" s="99">
        <v>0</v>
      </c>
      <c r="L290" t="s">
        <v>315</v>
      </c>
      <c r="M290" t="s">
        <v>317</v>
      </c>
      <c r="N290">
        <v>3000</v>
      </c>
      <c r="O290" t="s">
        <v>321</v>
      </c>
      <c r="P290" t="s">
        <v>610</v>
      </c>
    </row>
    <row r="291" spans="1:16" x14ac:dyDescent="0.3">
      <c r="A291" s="21" t="s">
        <v>288</v>
      </c>
      <c r="B291" s="33">
        <v>88</v>
      </c>
      <c r="C291" s="22">
        <v>16</v>
      </c>
      <c r="D291" s="65" t="s">
        <v>303</v>
      </c>
      <c r="E291" s="56">
        <v>18579.891</v>
      </c>
      <c r="F291" s="56">
        <v>224597.98689999999</v>
      </c>
      <c r="G291" s="45">
        <v>752.73401091571998</v>
      </c>
      <c r="H291" s="45">
        <v>768.73401091571998</v>
      </c>
      <c r="I291" s="81">
        <f t="shared" si="6"/>
        <v>769.65101091572001</v>
      </c>
      <c r="J291" t="s">
        <v>310</v>
      </c>
      <c r="K291" s="99">
        <v>0</v>
      </c>
      <c r="L291" t="s">
        <v>315</v>
      </c>
      <c r="M291" t="s">
        <v>317</v>
      </c>
      <c r="N291">
        <v>3000</v>
      </c>
      <c r="O291" t="s">
        <v>321</v>
      </c>
      <c r="P291" t="s">
        <v>611</v>
      </c>
    </row>
    <row r="292" spans="1:16" ht="15" thickBot="1" x14ac:dyDescent="0.35">
      <c r="A292" s="27" t="s">
        <v>289</v>
      </c>
      <c r="B292" s="36">
        <v>88</v>
      </c>
      <c r="C292" s="28">
        <v>16</v>
      </c>
      <c r="D292" s="71" t="s">
        <v>303</v>
      </c>
      <c r="E292" s="59">
        <v>18578.057199999999</v>
      </c>
      <c r="F292" s="59">
        <v>224595.4627</v>
      </c>
      <c r="G292" s="48">
        <v>752.78078631977405</v>
      </c>
      <c r="H292" s="48">
        <v>768.78078631977405</v>
      </c>
      <c r="I292" s="84">
        <f t="shared" si="6"/>
        <v>769.69778631977408</v>
      </c>
      <c r="J292" t="s">
        <v>310</v>
      </c>
      <c r="K292" s="99">
        <v>0</v>
      </c>
      <c r="L292" t="s">
        <v>315</v>
      </c>
      <c r="M292" t="s">
        <v>317</v>
      </c>
      <c r="N292">
        <v>3000</v>
      </c>
      <c r="O292" t="s">
        <v>321</v>
      </c>
      <c r="P292" t="s">
        <v>612</v>
      </c>
    </row>
    <row r="293" spans="1:16" x14ac:dyDescent="0.3">
      <c r="A293" s="13" t="s">
        <v>290</v>
      </c>
      <c r="B293" s="37">
        <v>88</v>
      </c>
      <c r="C293" s="14">
        <v>16</v>
      </c>
      <c r="D293" s="72" t="s">
        <v>303</v>
      </c>
      <c r="E293" s="60">
        <v>18576.199799999999</v>
      </c>
      <c r="F293" s="60">
        <v>224592.9062</v>
      </c>
      <c r="G293" s="49">
        <f>H293-C293</f>
        <v>751.62800000000004</v>
      </c>
      <c r="H293" s="49">
        <v>767.62800000000004</v>
      </c>
      <c r="I293" s="85">
        <f>H293+2.117</f>
        <v>769.745</v>
      </c>
      <c r="J293" t="s">
        <v>310</v>
      </c>
      <c r="K293" s="99">
        <v>0</v>
      </c>
      <c r="L293" t="s">
        <v>315</v>
      </c>
      <c r="M293" t="s">
        <v>317</v>
      </c>
      <c r="N293">
        <v>3000</v>
      </c>
      <c r="O293" t="s">
        <v>321</v>
      </c>
      <c r="P293" t="s">
        <v>613</v>
      </c>
    </row>
    <row r="294" spans="1:16" x14ac:dyDescent="0.3">
      <c r="A294" s="6" t="s">
        <v>291</v>
      </c>
      <c r="B294" s="30">
        <v>88</v>
      </c>
      <c r="C294" s="7">
        <v>16</v>
      </c>
      <c r="D294" s="68" t="s">
        <v>303</v>
      </c>
      <c r="E294" s="53">
        <v>18574.366000000002</v>
      </c>
      <c r="F294" s="53">
        <v>224590.38200000001</v>
      </c>
      <c r="G294" s="49">
        <f t="shared" ref="G294:G296" si="7">H294-C294</f>
        <v>751.67499999999995</v>
      </c>
      <c r="H294" s="42">
        <v>767.67499999999995</v>
      </c>
      <c r="I294" s="85">
        <f t="shared" ref="I294:I296" si="8">H294+2.117</f>
        <v>769.79199999999992</v>
      </c>
      <c r="J294" t="s">
        <v>310</v>
      </c>
      <c r="K294" s="99">
        <v>0</v>
      </c>
      <c r="L294" t="s">
        <v>315</v>
      </c>
      <c r="M294" t="s">
        <v>317</v>
      </c>
      <c r="N294">
        <v>3000</v>
      </c>
      <c r="O294" t="s">
        <v>321</v>
      </c>
      <c r="P294" t="s">
        <v>614</v>
      </c>
    </row>
    <row r="295" spans="1:16" x14ac:dyDescent="0.3">
      <c r="A295" s="6" t="s">
        <v>292</v>
      </c>
      <c r="B295" s="30">
        <v>88</v>
      </c>
      <c r="C295" s="7">
        <v>16</v>
      </c>
      <c r="D295" s="68" t="s">
        <v>303</v>
      </c>
      <c r="E295" s="53">
        <v>18571.339</v>
      </c>
      <c r="F295" s="53">
        <v>224586.215</v>
      </c>
      <c r="G295" s="49">
        <f t="shared" si="7"/>
        <v>751.75199999999995</v>
      </c>
      <c r="H295" s="42">
        <v>767.75199999999995</v>
      </c>
      <c r="I295" s="85">
        <f t="shared" si="8"/>
        <v>769.86899999999991</v>
      </c>
      <c r="J295" t="s">
        <v>310</v>
      </c>
      <c r="K295" s="99">
        <v>0</v>
      </c>
      <c r="L295" t="s">
        <v>315</v>
      </c>
      <c r="M295" t="s">
        <v>317</v>
      </c>
      <c r="N295">
        <v>3000</v>
      </c>
      <c r="O295" t="s">
        <v>321</v>
      </c>
      <c r="P295" t="s">
        <v>615</v>
      </c>
    </row>
    <row r="296" spans="1:16" ht="15" thickBot="1" x14ac:dyDescent="0.35">
      <c r="A296" s="8" t="s">
        <v>307</v>
      </c>
      <c r="B296" s="31">
        <v>88</v>
      </c>
      <c r="C296" s="9">
        <v>16</v>
      </c>
      <c r="D296" s="69" t="s">
        <v>303</v>
      </c>
      <c r="E296" s="54">
        <v>18568.312000000002</v>
      </c>
      <c r="F296" s="54">
        <v>224582.049</v>
      </c>
      <c r="G296" s="43">
        <f t="shared" si="7"/>
        <v>751.83100000000002</v>
      </c>
      <c r="H296" s="43">
        <v>767.83100000000002</v>
      </c>
      <c r="I296" s="97">
        <f t="shared" si="8"/>
        <v>769.94799999999998</v>
      </c>
      <c r="J296" t="s">
        <v>310</v>
      </c>
      <c r="K296" s="99">
        <v>0</v>
      </c>
      <c r="L296" t="s">
        <v>315</v>
      </c>
      <c r="M296" t="s">
        <v>317</v>
      </c>
      <c r="N296">
        <v>3000</v>
      </c>
      <c r="O296" t="s">
        <v>321</v>
      </c>
      <c r="P296" t="s">
        <v>616</v>
      </c>
    </row>
    <row r="300" spans="1:16" x14ac:dyDescent="0.3">
      <c r="A300" s="96"/>
    </row>
    <row r="301" spans="1:16" x14ac:dyDescent="0.3">
      <c r="A301" s="96"/>
    </row>
  </sheetData>
  <phoneticPr fontId="18" type="noConversion"/>
  <pageMargins left="0.70866141732283472" right="0.70866141732283472" top="0.78740157480314965" bottom="0.78740157480314965" header="0.31496062992125984" footer="0.31496062992125984"/>
  <pageSetup paperSize="9" scale="79" fitToHeight="0" orientation="portrait" r:id="rId1"/>
  <rowBreaks count="1" manualBreakCount="1">
    <brk id="58" max="16383" man="1"/>
  </rowBreaks>
</worksheet>
</file>

<file path=docMetadata/LabelInfo.xml><?xml version="1.0" encoding="utf-8"?>
<clbl:labelList xmlns:clbl="http://schemas.microsoft.com/office/2020/mipLabelMetadata">
  <clbl:label id="{b44eb401-1c30-454c-ae94-78de08e2320c}" enabled="0" method="" siteId="{b44eb401-1c30-454c-ae94-78de08e232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Pfahlausteilung</vt:lpstr>
      <vt:lpstr>Pfahlausteilung!Druckbereich</vt:lpstr>
      <vt:lpstr>Pfahlausteilung!Drucktitel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KMP - Michael Brückl</dc:creator>
  <cp:lastModifiedBy>Wohlfarter, Uli</cp:lastModifiedBy>
  <cp:lastPrinted>2025-08-05T05:42:43Z</cp:lastPrinted>
  <dcterms:created xsi:type="dcterms:W3CDTF">2021-07-01T05:30:19Z</dcterms:created>
  <dcterms:modified xsi:type="dcterms:W3CDTF">2026-09-26T12:14:38Z</dcterms:modified>
</cp:coreProperties>
</file>